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11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di\Desktop\Mandi\Università\UA\ONLE\Project\Excel Model\"/>
    </mc:Choice>
  </mc:AlternateContent>
  <xr:revisionPtr revIDLastSave="0" documentId="13_ncr:1_{D877BF61-ADCA-45B2-9FA1-56486C331682}" xr6:coauthVersionLast="47" xr6:coauthVersionMax="47" xr10:uidLastSave="{00000000-0000-0000-0000-000000000000}"/>
  <bookViews>
    <workbookView xWindow="-108" yWindow="-108" windowWidth="23256" windowHeight="12456" tabRatio="806" firstSheet="4" activeTab="6" xr2:uid="{721D6FE2-4DEC-43DD-91BF-F44B7AFCC037}"/>
  </bookViews>
  <sheets>
    <sheet name="Engine Data" sheetId="1" r:id="rId1"/>
    <sheet name="Power-Speed Relation VI Gear" sheetId="4" r:id="rId2"/>
    <sheet name="Resisting Power" sheetId="6" r:id="rId3"/>
    <sheet name="Top Speed" sheetId="5" r:id="rId4"/>
    <sheet name="Acceleration" sheetId="14" r:id="rId5"/>
    <sheet name="Excess Power Charts" sheetId="12" r:id="rId6"/>
    <sheet name="Excess Power" sheetId="9" r:id="rId7"/>
    <sheet name="Time" sheetId="13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9" l="1"/>
  <c r="J14" i="9"/>
  <c r="K14" i="9" s="1"/>
  <c r="L14" i="9" s="1"/>
  <c r="G15" i="14" s="1"/>
  <c r="J15" i="9"/>
  <c r="K15" i="9" s="1"/>
  <c r="L15" i="9" s="1"/>
  <c r="G16" i="14" s="1"/>
  <c r="J16" i="9"/>
  <c r="F17" i="14" s="1"/>
  <c r="J17" i="9"/>
  <c r="K17" i="9" s="1"/>
  <c r="L17" i="9" s="1"/>
  <c r="G18" i="14" s="1"/>
  <c r="J18" i="9"/>
  <c r="F19" i="14" s="1"/>
  <c r="J19" i="9"/>
  <c r="F20" i="14" s="1"/>
  <c r="J20" i="9"/>
  <c r="K20" i="9" s="1"/>
  <c r="L20" i="9" s="1"/>
  <c r="G21" i="14" s="1"/>
  <c r="J21" i="9"/>
  <c r="K21" i="9" s="1"/>
  <c r="L21" i="9" s="1"/>
  <c r="G22" i="14" s="1"/>
  <c r="J22" i="9"/>
  <c r="K22" i="9" s="1"/>
  <c r="L22" i="9" s="1"/>
  <c r="G23" i="14" s="1"/>
  <c r="J23" i="9"/>
  <c r="K23" i="9" s="1"/>
  <c r="L23" i="9" s="1"/>
  <c r="G24" i="14" s="1"/>
  <c r="J24" i="9"/>
  <c r="F25" i="14" s="1"/>
  <c r="J25" i="9"/>
  <c r="K25" i="9" s="1"/>
  <c r="L25" i="9" s="1"/>
  <c r="G26" i="14" s="1"/>
  <c r="J26" i="9"/>
  <c r="F27" i="14" s="1"/>
  <c r="J27" i="9"/>
  <c r="K27" i="9" s="1"/>
  <c r="L27" i="9" s="1"/>
  <c r="G28" i="14" s="1"/>
  <c r="J28" i="9"/>
  <c r="K28" i="9" s="1"/>
  <c r="L28" i="9" s="1"/>
  <c r="G29" i="14" s="1"/>
  <c r="J29" i="9"/>
  <c r="F30" i="14" s="1"/>
  <c r="J30" i="9"/>
  <c r="K30" i="9" s="1"/>
  <c r="L30" i="9" s="1"/>
  <c r="G31" i="14" s="1"/>
  <c r="J31" i="9"/>
  <c r="K31" i="9" s="1"/>
  <c r="L31" i="9" s="1"/>
  <c r="G32" i="14" s="1"/>
  <c r="J32" i="9"/>
  <c r="K32" i="9" s="1"/>
  <c r="L32" i="9" s="1"/>
  <c r="G33" i="14" s="1"/>
  <c r="J33" i="9"/>
  <c r="K33" i="9" s="1"/>
  <c r="L33" i="9" s="1"/>
  <c r="G34" i="14" s="1"/>
  <c r="J34" i="9"/>
  <c r="F35" i="14" s="1"/>
  <c r="J35" i="9"/>
  <c r="K35" i="9" s="1"/>
  <c r="L35" i="9" s="1"/>
  <c r="G36" i="14" s="1"/>
  <c r="J36" i="9"/>
  <c r="K36" i="9" s="1"/>
  <c r="L36" i="9" s="1"/>
  <c r="G37" i="14" s="1"/>
  <c r="J37" i="9"/>
  <c r="K37" i="9" s="1"/>
  <c r="L37" i="9" s="1"/>
  <c r="G38" i="14" s="1"/>
  <c r="J38" i="9"/>
  <c r="F39" i="14" s="1"/>
  <c r="J39" i="9"/>
  <c r="J40" i="9"/>
  <c r="F41" i="14" s="1"/>
  <c r="J41" i="9"/>
  <c r="F42" i="14" s="1"/>
  <c r="J42" i="9"/>
  <c r="K42" i="9" s="1"/>
  <c r="L42" i="9" s="1"/>
  <c r="G43" i="14" s="1"/>
  <c r="J43" i="9"/>
  <c r="K43" i="9" s="1"/>
  <c r="L43" i="9" s="1"/>
  <c r="G44" i="14" s="1"/>
  <c r="J44" i="9"/>
  <c r="K44" i="9" s="1"/>
  <c r="L44" i="9" s="1"/>
  <c r="G45" i="14" s="1"/>
  <c r="J45" i="9"/>
  <c r="K45" i="9" s="1"/>
  <c r="L45" i="9" s="1"/>
  <c r="G46" i="14" s="1"/>
  <c r="J46" i="9"/>
  <c r="F47" i="14" s="1"/>
  <c r="J47" i="9"/>
  <c r="K47" i="9" s="1"/>
  <c r="L47" i="9" s="1"/>
  <c r="G48" i="14" s="1"/>
  <c r="J48" i="9"/>
  <c r="K48" i="9" s="1"/>
  <c r="L48" i="9" s="1"/>
  <c r="G49" i="14" s="1"/>
  <c r="J49" i="9"/>
  <c r="K49" i="9" s="1"/>
  <c r="L49" i="9" s="1"/>
  <c r="G50" i="14" s="1"/>
  <c r="J50" i="9"/>
  <c r="K50" i="9" s="1"/>
  <c r="L50" i="9" s="1"/>
  <c r="G51" i="14" s="1"/>
  <c r="J51" i="9"/>
  <c r="K51" i="9" s="1"/>
  <c r="L51" i="9" s="1"/>
  <c r="G52" i="14" s="1"/>
  <c r="J52" i="9"/>
  <c r="F53" i="14" s="1"/>
  <c r="J53" i="9"/>
  <c r="K53" i="9" s="1"/>
  <c r="L53" i="9" s="1"/>
  <c r="G54" i="14" s="1"/>
  <c r="J54" i="9"/>
  <c r="K54" i="9" s="1"/>
  <c r="L54" i="9" s="1"/>
  <c r="G55" i="14" s="1"/>
  <c r="J55" i="9"/>
  <c r="K55" i="9" s="1"/>
  <c r="L55" i="9" s="1"/>
  <c r="G56" i="14" s="1"/>
  <c r="J56" i="9"/>
  <c r="K56" i="9" s="1"/>
  <c r="L56" i="9" s="1"/>
  <c r="G57" i="14" s="1"/>
  <c r="J57" i="9"/>
  <c r="K57" i="9" s="1"/>
  <c r="L57" i="9" s="1"/>
  <c r="G58" i="14" s="1"/>
  <c r="J58" i="9"/>
  <c r="K58" i="9" s="1"/>
  <c r="L58" i="9" s="1"/>
  <c r="G59" i="14" s="1"/>
  <c r="J59" i="9"/>
  <c r="F60" i="14" s="1"/>
  <c r="J60" i="9"/>
  <c r="K60" i="9" s="1"/>
  <c r="L60" i="9" s="1"/>
  <c r="G61" i="14" s="1"/>
  <c r="J61" i="9"/>
  <c r="J62" i="9"/>
  <c r="K62" i="9" s="1"/>
  <c r="L62" i="9" s="1"/>
  <c r="G63" i="14" s="1"/>
  <c r="J63" i="9"/>
  <c r="K63" i="9" s="1"/>
  <c r="L63" i="9" s="1"/>
  <c r="G64" i="14" s="1"/>
  <c r="J64" i="9"/>
  <c r="K64" i="9" s="1"/>
  <c r="L64" i="9" s="1"/>
  <c r="G65" i="14" s="1"/>
  <c r="J65" i="9"/>
  <c r="K65" i="9" s="1"/>
  <c r="L65" i="9" s="1"/>
  <c r="G66" i="14" s="1"/>
  <c r="J66" i="9"/>
  <c r="K66" i="9" s="1"/>
  <c r="L66" i="9" s="1"/>
  <c r="G67" i="14" s="1"/>
  <c r="J67" i="9"/>
  <c r="K67" i="9" s="1"/>
  <c r="L67" i="9" s="1"/>
  <c r="G68" i="14" s="1"/>
  <c r="J68" i="9"/>
  <c r="K68" i="9" s="1"/>
  <c r="L68" i="9" s="1"/>
  <c r="G69" i="14" s="1"/>
  <c r="J69" i="9"/>
  <c r="K69" i="9" s="1"/>
  <c r="L69" i="9" s="1"/>
  <c r="G70" i="14" s="1"/>
  <c r="J70" i="9"/>
  <c r="K70" i="9" s="1"/>
  <c r="L70" i="9" s="1"/>
  <c r="G71" i="14" s="1"/>
  <c r="J71" i="9"/>
  <c r="K71" i="9" s="1"/>
  <c r="L71" i="9" s="1"/>
  <c r="G72" i="14" s="1"/>
  <c r="J72" i="9"/>
  <c r="F73" i="14" s="1"/>
  <c r="J73" i="9"/>
  <c r="K73" i="9" s="1"/>
  <c r="L73" i="9" s="1"/>
  <c r="G74" i="14" s="1"/>
  <c r="J74" i="9"/>
  <c r="K74" i="9" s="1"/>
  <c r="L74" i="9" s="1"/>
  <c r="G75" i="14" s="1"/>
  <c r="J75" i="9"/>
  <c r="F76" i="14" s="1"/>
  <c r="J76" i="9"/>
  <c r="K76" i="9" s="1"/>
  <c r="L76" i="9" s="1"/>
  <c r="G77" i="14" s="1"/>
  <c r="J77" i="9"/>
  <c r="K77" i="9" s="1"/>
  <c r="L77" i="9" s="1"/>
  <c r="G78" i="14" s="1"/>
  <c r="J78" i="9"/>
  <c r="K78" i="9" s="1"/>
  <c r="L78" i="9" s="1"/>
  <c r="G79" i="14" s="1"/>
  <c r="J79" i="9"/>
  <c r="K79" i="9" s="1"/>
  <c r="L79" i="9" s="1"/>
  <c r="G80" i="14" s="1"/>
  <c r="J80" i="9"/>
  <c r="F81" i="14" s="1"/>
  <c r="J81" i="9"/>
  <c r="K81" i="9" s="1"/>
  <c r="L81" i="9" s="1"/>
  <c r="G82" i="14" s="1"/>
  <c r="J82" i="9"/>
  <c r="F83" i="14" s="1"/>
  <c r="J83" i="9"/>
  <c r="K83" i="9" s="1"/>
  <c r="L83" i="9" s="1"/>
  <c r="G84" i="14" s="1"/>
  <c r="J84" i="9"/>
  <c r="K84" i="9" s="1"/>
  <c r="L84" i="9" s="1"/>
  <c r="G85" i="14" s="1"/>
  <c r="J85" i="9"/>
  <c r="K85" i="9" s="1"/>
  <c r="L85" i="9" s="1"/>
  <c r="G86" i="14" s="1"/>
  <c r="J86" i="9"/>
  <c r="K86" i="9" s="1"/>
  <c r="L86" i="9" s="1"/>
  <c r="G87" i="14" s="1"/>
  <c r="J87" i="9"/>
  <c r="K87" i="9" s="1"/>
  <c r="L87" i="9" s="1"/>
  <c r="G88" i="14" s="1"/>
  <c r="J88" i="9"/>
  <c r="K88" i="9" s="1"/>
  <c r="L88" i="9" s="1"/>
  <c r="G89" i="14" s="1"/>
  <c r="J89" i="9"/>
  <c r="K89" i="9" s="1"/>
  <c r="L89" i="9" s="1"/>
  <c r="G90" i="14" s="1"/>
  <c r="J90" i="9"/>
  <c r="F91" i="14" s="1"/>
  <c r="J91" i="9"/>
  <c r="K91" i="9" s="1"/>
  <c r="L91" i="9" s="1"/>
  <c r="G92" i="14" s="1"/>
  <c r="J92" i="9"/>
  <c r="K92" i="9" s="1"/>
  <c r="L92" i="9" s="1"/>
  <c r="G93" i="14" s="1"/>
  <c r="J93" i="9"/>
  <c r="K93" i="9" s="1"/>
  <c r="L93" i="9" s="1"/>
  <c r="G94" i="14" s="1"/>
  <c r="J94" i="9"/>
  <c r="K94" i="9" s="1"/>
  <c r="L94" i="9" s="1"/>
  <c r="G95" i="14" s="1"/>
  <c r="J95" i="9"/>
  <c r="F96" i="14" s="1"/>
  <c r="J96" i="9"/>
  <c r="K96" i="9" s="1"/>
  <c r="L96" i="9" s="1"/>
  <c r="G97" i="14" s="1"/>
  <c r="J97" i="9"/>
  <c r="K97" i="9" s="1"/>
  <c r="L97" i="9" s="1"/>
  <c r="G98" i="14" s="1"/>
  <c r="J98" i="9"/>
  <c r="K98" i="9" s="1"/>
  <c r="L98" i="9" s="1"/>
  <c r="G99" i="14" s="1"/>
  <c r="J99" i="9"/>
  <c r="K99" i="9" s="1"/>
  <c r="L99" i="9" s="1"/>
  <c r="G100" i="14" s="1"/>
  <c r="J100" i="9"/>
  <c r="K100" i="9" s="1"/>
  <c r="L100" i="9" s="1"/>
  <c r="G101" i="14" s="1"/>
  <c r="J101" i="9"/>
  <c r="K101" i="9" s="1"/>
  <c r="L101" i="9" s="1"/>
  <c r="G102" i="14" s="1"/>
  <c r="J102" i="9"/>
  <c r="F103" i="14" s="1"/>
  <c r="J103" i="9"/>
  <c r="K103" i="9" s="1"/>
  <c r="L103" i="9" s="1"/>
  <c r="G104" i="14" s="1"/>
  <c r="J104" i="9"/>
  <c r="K104" i="9" s="1"/>
  <c r="L104" i="9" s="1"/>
  <c r="G105" i="14" s="1"/>
  <c r="J105" i="9"/>
  <c r="K105" i="9" s="1"/>
  <c r="L105" i="9" s="1"/>
  <c r="G106" i="14" s="1"/>
  <c r="J106" i="9"/>
  <c r="K106" i="9" s="1"/>
  <c r="L106" i="9" s="1"/>
  <c r="G107" i="14" s="1"/>
  <c r="J107" i="9"/>
  <c r="K107" i="9" s="1"/>
  <c r="L107" i="9" s="1"/>
  <c r="G108" i="14" s="1"/>
  <c r="J108" i="9"/>
  <c r="F109" i="14" s="1"/>
  <c r="J109" i="9"/>
  <c r="K109" i="9" s="1"/>
  <c r="L109" i="9" s="1"/>
  <c r="G110" i="14" s="1"/>
  <c r="J110" i="9"/>
  <c r="K110" i="9" s="1"/>
  <c r="L110" i="9" s="1"/>
  <c r="G111" i="14" s="1"/>
  <c r="J111" i="9"/>
  <c r="K111" i="9" s="1"/>
  <c r="L111" i="9" s="1"/>
  <c r="G112" i="14" s="1"/>
  <c r="J112" i="9"/>
  <c r="K112" i="9" s="1"/>
  <c r="L112" i="9" s="1"/>
  <c r="G113" i="14" s="1"/>
  <c r="J113" i="9"/>
  <c r="K113" i="9" s="1"/>
  <c r="L113" i="9" s="1"/>
  <c r="G114" i="14" s="1"/>
  <c r="J114" i="9"/>
  <c r="K114" i="9" s="1"/>
  <c r="L114" i="9" s="1"/>
  <c r="G115" i="14" s="1"/>
  <c r="J115" i="9"/>
  <c r="K115" i="9" s="1"/>
  <c r="L115" i="9" s="1"/>
  <c r="G116" i="14" s="1"/>
  <c r="J116" i="9"/>
  <c r="K116" i="9" s="1"/>
  <c r="L116" i="9" s="1"/>
  <c r="G117" i="14" s="1"/>
  <c r="J117" i="9"/>
  <c r="K117" i="9" s="1"/>
  <c r="L117" i="9" s="1"/>
  <c r="G118" i="14" s="1"/>
  <c r="J118" i="9"/>
  <c r="K118" i="9" s="1"/>
  <c r="L118" i="9" s="1"/>
  <c r="G119" i="14" s="1"/>
  <c r="J119" i="9"/>
  <c r="K119" i="9" s="1"/>
  <c r="L119" i="9" s="1"/>
  <c r="G120" i="14" s="1"/>
  <c r="J120" i="9"/>
  <c r="K120" i="9" s="1"/>
  <c r="L120" i="9" s="1"/>
  <c r="G121" i="14" s="1"/>
  <c r="J121" i="9"/>
  <c r="K121" i="9" s="1"/>
  <c r="L121" i="9" s="1"/>
  <c r="G122" i="14" s="1"/>
  <c r="J122" i="9"/>
  <c r="K122" i="9" s="1"/>
  <c r="L122" i="9" s="1"/>
  <c r="G123" i="14" s="1"/>
  <c r="J123" i="9"/>
  <c r="K123" i="9" s="1"/>
  <c r="L123" i="9" s="1"/>
  <c r="G124" i="14" s="1"/>
  <c r="J124" i="9"/>
  <c r="K124" i="9" s="1"/>
  <c r="L124" i="9" s="1"/>
  <c r="G125" i="14" s="1"/>
  <c r="J125" i="9"/>
  <c r="K125" i="9" s="1"/>
  <c r="L125" i="9" s="1"/>
  <c r="G126" i="14" s="1"/>
  <c r="J126" i="9"/>
  <c r="F127" i="14" s="1"/>
  <c r="J127" i="9"/>
  <c r="K127" i="9" s="1"/>
  <c r="L127" i="9" s="1"/>
  <c r="G128" i="14" s="1"/>
  <c r="J128" i="9"/>
  <c r="F129" i="14" s="1"/>
  <c r="J129" i="9"/>
  <c r="K129" i="9" s="1"/>
  <c r="L129" i="9" s="1"/>
  <c r="G130" i="14" s="1"/>
  <c r="J130" i="9"/>
  <c r="K130" i="9" s="1"/>
  <c r="L130" i="9" s="1"/>
  <c r="G131" i="14" s="1"/>
  <c r="J131" i="9"/>
  <c r="K131" i="9" s="1"/>
  <c r="L131" i="9" s="1"/>
  <c r="G132" i="14" s="1"/>
  <c r="J132" i="9"/>
  <c r="K132" i="9" s="1"/>
  <c r="L132" i="9" s="1"/>
  <c r="G133" i="14" s="1"/>
  <c r="J133" i="9"/>
  <c r="K133" i="9" s="1"/>
  <c r="L133" i="9" s="1"/>
  <c r="G134" i="14" s="1"/>
  <c r="J134" i="9"/>
  <c r="K134" i="9" s="1"/>
  <c r="L134" i="9" s="1"/>
  <c r="G135" i="14" s="1"/>
  <c r="J135" i="9"/>
  <c r="K135" i="9" s="1"/>
  <c r="L135" i="9" s="1"/>
  <c r="G136" i="14" s="1"/>
  <c r="J136" i="9"/>
  <c r="K136" i="9" s="1"/>
  <c r="L136" i="9" s="1"/>
  <c r="G137" i="14" s="1"/>
  <c r="J137" i="9"/>
  <c r="K137" i="9" s="1"/>
  <c r="L137" i="9" s="1"/>
  <c r="G138" i="14" s="1"/>
  <c r="J138" i="9"/>
  <c r="K138" i="9" s="1"/>
  <c r="L138" i="9" s="1"/>
  <c r="G139" i="14" s="1"/>
  <c r="J139" i="9"/>
  <c r="K139" i="9" s="1"/>
  <c r="L139" i="9" s="1"/>
  <c r="G140" i="14" s="1"/>
  <c r="J140" i="9"/>
  <c r="K140" i="9" s="1"/>
  <c r="L140" i="9" s="1"/>
  <c r="G141" i="14" s="1"/>
  <c r="J141" i="9"/>
  <c r="K141" i="9" s="1"/>
  <c r="L141" i="9" s="1"/>
  <c r="G142" i="14" s="1"/>
  <c r="J142" i="9"/>
  <c r="K142" i="9" s="1"/>
  <c r="L142" i="9" s="1"/>
  <c r="G143" i="14" s="1"/>
  <c r="J143" i="9"/>
  <c r="K143" i="9" s="1"/>
  <c r="L143" i="9" s="1"/>
  <c r="G144" i="14" s="1"/>
  <c r="J144" i="9"/>
  <c r="K144" i="9" s="1"/>
  <c r="L144" i="9" s="1"/>
  <c r="G145" i="14" s="1"/>
  <c r="J145" i="9"/>
  <c r="F146" i="14" s="1"/>
  <c r="J146" i="9"/>
  <c r="K146" i="9" s="1"/>
  <c r="L146" i="9" s="1"/>
  <c r="G147" i="14" s="1"/>
  <c r="J147" i="9"/>
  <c r="K147" i="9" s="1"/>
  <c r="L147" i="9" s="1"/>
  <c r="G148" i="14" s="1"/>
  <c r="J148" i="9"/>
  <c r="K148" i="9" s="1"/>
  <c r="L148" i="9" s="1"/>
  <c r="G149" i="14" s="1"/>
  <c r="J149" i="9"/>
  <c r="K149" i="9" s="1"/>
  <c r="L149" i="9" s="1"/>
  <c r="G150" i="14" s="1"/>
  <c r="J150" i="9"/>
  <c r="K150" i="9" s="1"/>
  <c r="L150" i="9" s="1"/>
  <c r="G151" i="14" s="1"/>
  <c r="J151" i="9"/>
  <c r="F152" i="14" s="1"/>
  <c r="J152" i="9"/>
  <c r="K152" i="9" s="1"/>
  <c r="L152" i="9" s="1"/>
  <c r="G153" i="14" s="1"/>
  <c r="J153" i="9"/>
  <c r="K153" i="9" s="1"/>
  <c r="L153" i="9" s="1"/>
  <c r="G154" i="14" s="1"/>
  <c r="J154" i="9"/>
  <c r="K154" i="9" s="1"/>
  <c r="L154" i="9" s="1"/>
  <c r="G155" i="14" s="1"/>
  <c r="J155" i="9"/>
  <c r="K155" i="9" s="1"/>
  <c r="L155" i="9" s="1"/>
  <c r="G156" i="14" s="1"/>
  <c r="J156" i="9"/>
  <c r="K156" i="9" s="1"/>
  <c r="L156" i="9" s="1"/>
  <c r="G157" i="14" s="1"/>
  <c r="J157" i="9"/>
  <c r="K157" i="9" s="1"/>
  <c r="L157" i="9" s="1"/>
  <c r="G158" i="14" s="1"/>
  <c r="J158" i="9"/>
  <c r="K158" i="9" s="1"/>
  <c r="L158" i="9" s="1"/>
  <c r="G159" i="14" s="1"/>
  <c r="J159" i="9"/>
  <c r="K159" i="9" s="1"/>
  <c r="L159" i="9" s="1"/>
  <c r="G160" i="14" s="1"/>
  <c r="J160" i="9"/>
  <c r="K160" i="9" s="1"/>
  <c r="L160" i="9" s="1"/>
  <c r="G161" i="14" s="1"/>
  <c r="J161" i="9"/>
  <c r="K161" i="9" s="1"/>
  <c r="L161" i="9" s="1"/>
  <c r="G162" i="14" s="1"/>
  <c r="J162" i="9"/>
  <c r="K162" i="9" s="1"/>
  <c r="L162" i="9" s="1"/>
  <c r="G163" i="14" s="1"/>
  <c r="J163" i="9"/>
  <c r="K163" i="9" s="1"/>
  <c r="L163" i="9" s="1"/>
  <c r="G164" i="14" s="1"/>
  <c r="J164" i="9"/>
  <c r="K164" i="9" s="1"/>
  <c r="L164" i="9" s="1"/>
  <c r="G165" i="14" s="1"/>
  <c r="J165" i="9"/>
  <c r="K165" i="9" s="1"/>
  <c r="L165" i="9" s="1"/>
  <c r="G166" i="14" s="1"/>
  <c r="J166" i="9"/>
  <c r="K166" i="9" s="1"/>
  <c r="L166" i="9" s="1"/>
  <c r="G167" i="14" s="1"/>
  <c r="J167" i="9"/>
  <c r="K167" i="9" s="1"/>
  <c r="L167" i="9" s="1"/>
  <c r="G168" i="14" s="1"/>
  <c r="J168" i="9"/>
  <c r="F169" i="14" s="1"/>
  <c r="J169" i="9"/>
  <c r="K169" i="9" s="1"/>
  <c r="L169" i="9" s="1"/>
  <c r="G170" i="14" s="1"/>
  <c r="J170" i="9"/>
  <c r="K170" i="9" s="1"/>
  <c r="L170" i="9" s="1"/>
  <c r="G171" i="14" s="1"/>
  <c r="J171" i="9"/>
  <c r="K171" i="9" s="1"/>
  <c r="L171" i="9" s="1"/>
  <c r="G172" i="14" s="1"/>
  <c r="J172" i="9"/>
  <c r="K172" i="9" s="1"/>
  <c r="L172" i="9" s="1"/>
  <c r="G173" i="14" s="1"/>
  <c r="J173" i="9"/>
  <c r="K173" i="9" s="1"/>
  <c r="L173" i="9" s="1"/>
  <c r="G174" i="14" s="1"/>
  <c r="J174" i="9"/>
  <c r="K174" i="9" s="1"/>
  <c r="L174" i="9" s="1"/>
  <c r="G175" i="14" s="1"/>
  <c r="J175" i="9"/>
  <c r="K175" i="9" s="1"/>
  <c r="L175" i="9" s="1"/>
  <c r="G176" i="14" s="1"/>
  <c r="J176" i="9"/>
  <c r="K176" i="9" s="1"/>
  <c r="L176" i="9" s="1"/>
  <c r="G177" i="14" s="1"/>
  <c r="J177" i="9"/>
  <c r="K177" i="9" s="1"/>
  <c r="L177" i="9" s="1"/>
  <c r="G178" i="14" s="1"/>
  <c r="J178" i="9"/>
  <c r="K178" i="9" s="1"/>
  <c r="L178" i="9" s="1"/>
  <c r="G179" i="14" s="1"/>
  <c r="J179" i="9"/>
  <c r="F180" i="14" s="1"/>
  <c r="J180" i="9"/>
  <c r="K180" i="9" s="1"/>
  <c r="L180" i="9" s="1"/>
  <c r="G181" i="14" s="1"/>
  <c r="J181" i="9"/>
  <c r="K181" i="9" s="1"/>
  <c r="L181" i="9" s="1"/>
  <c r="G182" i="14" s="1"/>
  <c r="J182" i="9"/>
  <c r="K182" i="9" s="1"/>
  <c r="L182" i="9" s="1"/>
  <c r="G183" i="14" s="1"/>
  <c r="J183" i="9"/>
  <c r="K183" i="9" s="1"/>
  <c r="L183" i="9" s="1"/>
  <c r="G184" i="14" s="1"/>
  <c r="J184" i="9"/>
  <c r="K184" i="9" s="1"/>
  <c r="L184" i="9" s="1"/>
  <c r="G185" i="14" s="1"/>
  <c r="J185" i="9"/>
  <c r="K185" i="9" s="1"/>
  <c r="L185" i="9" s="1"/>
  <c r="G186" i="14" s="1"/>
  <c r="J186" i="9"/>
  <c r="K186" i="9" s="1"/>
  <c r="L186" i="9" s="1"/>
  <c r="G187" i="14" s="1"/>
  <c r="J187" i="9"/>
  <c r="K187" i="9" s="1"/>
  <c r="L187" i="9" s="1"/>
  <c r="G188" i="14" s="1"/>
  <c r="J188" i="9"/>
  <c r="K188" i="9" s="1"/>
  <c r="L188" i="9" s="1"/>
  <c r="G189" i="14" s="1"/>
  <c r="J189" i="9"/>
  <c r="K189" i="9" s="1"/>
  <c r="L189" i="9" s="1"/>
  <c r="G190" i="14" s="1"/>
  <c r="J190" i="9"/>
  <c r="K190" i="9" s="1"/>
  <c r="L190" i="9" s="1"/>
  <c r="G191" i="14" s="1"/>
  <c r="J191" i="9"/>
  <c r="K191" i="9" s="1"/>
  <c r="L191" i="9" s="1"/>
  <c r="G192" i="14" s="1"/>
  <c r="J192" i="9"/>
  <c r="K192" i="9" s="1"/>
  <c r="L192" i="9" s="1"/>
  <c r="G193" i="14" s="1"/>
  <c r="J193" i="9"/>
  <c r="K193" i="9" s="1"/>
  <c r="L193" i="9" s="1"/>
  <c r="G194" i="14" s="1"/>
  <c r="J194" i="9"/>
  <c r="K194" i="9" s="1"/>
  <c r="L194" i="9" s="1"/>
  <c r="G195" i="14" s="1"/>
  <c r="J195" i="9"/>
  <c r="K195" i="9" s="1"/>
  <c r="L195" i="9" s="1"/>
  <c r="G196" i="14" s="1"/>
  <c r="J196" i="9"/>
  <c r="K196" i="9" s="1"/>
  <c r="L196" i="9" s="1"/>
  <c r="G197" i="14" s="1"/>
  <c r="J197" i="9"/>
  <c r="K197" i="9" s="1"/>
  <c r="L197" i="9" s="1"/>
  <c r="G198" i="14" s="1"/>
  <c r="J198" i="9"/>
  <c r="K198" i="9" s="1"/>
  <c r="L198" i="9" s="1"/>
  <c r="G199" i="14" s="1"/>
  <c r="J199" i="9"/>
  <c r="K199" i="9" s="1"/>
  <c r="L199" i="9" s="1"/>
  <c r="G200" i="14" s="1"/>
  <c r="J200" i="9"/>
  <c r="F201" i="14" s="1"/>
  <c r="J201" i="9"/>
  <c r="K201" i="9" s="1"/>
  <c r="L201" i="9" s="1"/>
  <c r="G202" i="14" s="1"/>
  <c r="Z201" i="9"/>
  <c r="AA201" i="9" s="1"/>
  <c r="AB201" i="9" s="1"/>
  <c r="W202" i="14" s="1"/>
  <c r="V201" i="9"/>
  <c r="W201" i="9" s="1"/>
  <c r="X201" i="9" s="1"/>
  <c r="S202" i="14" s="1"/>
  <c r="R201" i="9"/>
  <c r="S201" i="9" s="1"/>
  <c r="T201" i="9" s="1"/>
  <c r="O202" i="14" s="1"/>
  <c r="N201" i="9"/>
  <c r="O201" i="9" s="1"/>
  <c r="P201" i="9" s="1"/>
  <c r="K202" i="14" s="1"/>
  <c r="F201" i="9"/>
  <c r="G201" i="9" s="1"/>
  <c r="H201" i="9" s="1"/>
  <c r="C202" i="14" s="1"/>
  <c r="D201" i="9"/>
  <c r="Z200" i="9"/>
  <c r="AA200" i="9" s="1"/>
  <c r="AB200" i="9" s="1"/>
  <c r="W201" i="14" s="1"/>
  <c r="V200" i="9"/>
  <c r="W200" i="9" s="1"/>
  <c r="X200" i="9" s="1"/>
  <c r="S201" i="14" s="1"/>
  <c r="R200" i="9"/>
  <c r="N200" i="9"/>
  <c r="O200" i="9" s="1"/>
  <c r="P200" i="9" s="1"/>
  <c r="K201" i="14" s="1"/>
  <c r="F200" i="9"/>
  <c r="G200" i="9" s="1"/>
  <c r="H200" i="9" s="1"/>
  <c r="C201" i="14" s="1"/>
  <c r="D200" i="9"/>
  <c r="Z199" i="9"/>
  <c r="AA199" i="9" s="1"/>
  <c r="AB199" i="9" s="1"/>
  <c r="W200" i="14" s="1"/>
  <c r="V199" i="9"/>
  <c r="W199" i="9" s="1"/>
  <c r="X199" i="9" s="1"/>
  <c r="S200" i="14" s="1"/>
  <c r="R199" i="9"/>
  <c r="S199" i="9" s="1"/>
  <c r="T199" i="9" s="1"/>
  <c r="O200" i="14" s="1"/>
  <c r="N199" i="9"/>
  <c r="O199" i="9" s="1"/>
  <c r="P199" i="9" s="1"/>
  <c r="K200" i="14" s="1"/>
  <c r="F199" i="9"/>
  <c r="G199" i="9" s="1"/>
  <c r="H199" i="9" s="1"/>
  <c r="C200" i="14" s="1"/>
  <c r="D199" i="9"/>
  <c r="Z198" i="9"/>
  <c r="V199" i="14" s="1"/>
  <c r="V198" i="9"/>
  <c r="W198" i="9" s="1"/>
  <c r="X198" i="9" s="1"/>
  <c r="S199" i="14" s="1"/>
  <c r="R198" i="9"/>
  <c r="S198" i="9" s="1"/>
  <c r="T198" i="9" s="1"/>
  <c r="O199" i="14" s="1"/>
  <c r="N198" i="9"/>
  <c r="O198" i="9" s="1"/>
  <c r="P198" i="9" s="1"/>
  <c r="K199" i="14" s="1"/>
  <c r="F198" i="9"/>
  <c r="G198" i="9" s="1"/>
  <c r="H198" i="9" s="1"/>
  <c r="C199" i="14" s="1"/>
  <c r="D198" i="9"/>
  <c r="Z197" i="9"/>
  <c r="V198" i="14" s="1"/>
  <c r="V197" i="9"/>
  <c r="W197" i="9" s="1"/>
  <c r="X197" i="9" s="1"/>
  <c r="S198" i="14" s="1"/>
  <c r="R197" i="9"/>
  <c r="S197" i="9" s="1"/>
  <c r="T197" i="9" s="1"/>
  <c r="O198" i="14" s="1"/>
  <c r="N197" i="9"/>
  <c r="O197" i="9" s="1"/>
  <c r="P197" i="9" s="1"/>
  <c r="K198" i="14" s="1"/>
  <c r="F197" i="9"/>
  <c r="G197" i="9" s="1"/>
  <c r="H197" i="9" s="1"/>
  <c r="C198" i="14" s="1"/>
  <c r="D197" i="9"/>
  <c r="Z196" i="9"/>
  <c r="AA196" i="9" s="1"/>
  <c r="AB196" i="9" s="1"/>
  <c r="W197" i="14" s="1"/>
  <c r="V196" i="9"/>
  <c r="W196" i="9" s="1"/>
  <c r="X196" i="9" s="1"/>
  <c r="S197" i="14" s="1"/>
  <c r="R196" i="9"/>
  <c r="S196" i="9" s="1"/>
  <c r="T196" i="9" s="1"/>
  <c r="O197" i="14" s="1"/>
  <c r="N196" i="9"/>
  <c r="O196" i="9" s="1"/>
  <c r="P196" i="9" s="1"/>
  <c r="K197" i="14" s="1"/>
  <c r="F196" i="9"/>
  <c r="G196" i="9" s="1"/>
  <c r="H196" i="9" s="1"/>
  <c r="C197" i="14" s="1"/>
  <c r="D196" i="9"/>
  <c r="Z195" i="9"/>
  <c r="AA195" i="9" s="1"/>
  <c r="AB195" i="9" s="1"/>
  <c r="W196" i="14" s="1"/>
  <c r="V195" i="9"/>
  <c r="W195" i="9" s="1"/>
  <c r="X195" i="9" s="1"/>
  <c r="S196" i="14" s="1"/>
  <c r="R195" i="9"/>
  <c r="S195" i="9" s="1"/>
  <c r="T195" i="9" s="1"/>
  <c r="O196" i="14" s="1"/>
  <c r="N195" i="9"/>
  <c r="O195" i="9" s="1"/>
  <c r="P195" i="9" s="1"/>
  <c r="K196" i="14" s="1"/>
  <c r="F195" i="9"/>
  <c r="G195" i="9" s="1"/>
  <c r="H195" i="9" s="1"/>
  <c r="C196" i="14" s="1"/>
  <c r="D195" i="9"/>
  <c r="Z194" i="9"/>
  <c r="AA194" i="9" s="1"/>
  <c r="AB194" i="9" s="1"/>
  <c r="W195" i="14" s="1"/>
  <c r="V194" i="9"/>
  <c r="W194" i="9" s="1"/>
  <c r="X194" i="9" s="1"/>
  <c r="S195" i="14" s="1"/>
  <c r="R194" i="9"/>
  <c r="N194" i="9"/>
  <c r="O194" i="9" s="1"/>
  <c r="P194" i="9" s="1"/>
  <c r="K195" i="14" s="1"/>
  <c r="F194" i="9"/>
  <c r="G194" i="9" s="1"/>
  <c r="H194" i="9" s="1"/>
  <c r="C195" i="14" s="1"/>
  <c r="D194" i="9"/>
  <c r="Z193" i="9"/>
  <c r="AA193" i="9" s="1"/>
  <c r="AB193" i="9" s="1"/>
  <c r="W194" i="14" s="1"/>
  <c r="V193" i="9"/>
  <c r="W193" i="9" s="1"/>
  <c r="X193" i="9" s="1"/>
  <c r="S194" i="14" s="1"/>
  <c r="R193" i="9"/>
  <c r="S193" i="9" s="1"/>
  <c r="T193" i="9" s="1"/>
  <c r="O194" i="14" s="1"/>
  <c r="N193" i="9"/>
  <c r="O193" i="9" s="1"/>
  <c r="P193" i="9" s="1"/>
  <c r="K194" i="14" s="1"/>
  <c r="F193" i="9"/>
  <c r="G193" i="9" s="1"/>
  <c r="H193" i="9" s="1"/>
  <c r="C194" i="14" s="1"/>
  <c r="D193" i="9"/>
  <c r="Z192" i="9"/>
  <c r="AA192" i="9" s="1"/>
  <c r="AB192" i="9" s="1"/>
  <c r="W193" i="14" s="1"/>
  <c r="V192" i="9"/>
  <c r="W192" i="9" s="1"/>
  <c r="X192" i="9" s="1"/>
  <c r="S193" i="14" s="1"/>
  <c r="R192" i="9"/>
  <c r="S192" i="9" s="1"/>
  <c r="T192" i="9" s="1"/>
  <c r="O193" i="14" s="1"/>
  <c r="N192" i="9"/>
  <c r="O192" i="9" s="1"/>
  <c r="P192" i="9" s="1"/>
  <c r="K193" i="14" s="1"/>
  <c r="F192" i="9"/>
  <c r="G192" i="9" s="1"/>
  <c r="H192" i="9" s="1"/>
  <c r="C193" i="14" s="1"/>
  <c r="D192" i="9"/>
  <c r="Z191" i="9"/>
  <c r="AA191" i="9" s="1"/>
  <c r="AB191" i="9" s="1"/>
  <c r="W192" i="14" s="1"/>
  <c r="V191" i="9"/>
  <c r="R192" i="14" s="1"/>
  <c r="R191" i="9"/>
  <c r="S191" i="9" s="1"/>
  <c r="T191" i="9" s="1"/>
  <c r="O192" i="14" s="1"/>
  <c r="N191" i="9"/>
  <c r="O191" i="9" s="1"/>
  <c r="P191" i="9" s="1"/>
  <c r="K192" i="14" s="1"/>
  <c r="F191" i="9"/>
  <c r="G191" i="9" s="1"/>
  <c r="H191" i="9" s="1"/>
  <c r="C192" i="14" s="1"/>
  <c r="D191" i="9"/>
  <c r="Z190" i="9"/>
  <c r="AA190" i="9" s="1"/>
  <c r="AB190" i="9" s="1"/>
  <c r="W191" i="14" s="1"/>
  <c r="V190" i="9"/>
  <c r="R191" i="14" s="1"/>
  <c r="R190" i="9"/>
  <c r="S190" i="9" s="1"/>
  <c r="T190" i="9" s="1"/>
  <c r="O191" i="14" s="1"/>
  <c r="N190" i="9"/>
  <c r="O190" i="9" s="1"/>
  <c r="P190" i="9" s="1"/>
  <c r="K191" i="14" s="1"/>
  <c r="F190" i="9"/>
  <c r="G190" i="9" s="1"/>
  <c r="H190" i="9" s="1"/>
  <c r="C191" i="14" s="1"/>
  <c r="D190" i="9"/>
  <c r="Z189" i="9"/>
  <c r="AA189" i="9" s="1"/>
  <c r="AB189" i="9" s="1"/>
  <c r="W190" i="14" s="1"/>
  <c r="V189" i="9"/>
  <c r="W189" i="9" s="1"/>
  <c r="X189" i="9" s="1"/>
  <c r="S190" i="14" s="1"/>
  <c r="R189" i="9"/>
  <c r="N190" i="14" s="1"/>
  <c r="N189" i="9"/>
  <c r="O189" i="9" s="1"/>
  <c r="P189" i="9" s="1"/>
  <c r="K190" i="14" s="1"/>
  <c r="F189" i="9"/>
  <c r="G189" i="9" s="1"/>
  <c r="H189" i="9" s="1"/>
  <c r="C190" i="14" s="1"/>
  <c r="D189" i="9"/>
  <c r="Z188" i="9"/>
  <c r="AA188" i="9" s="1"/>
  <c r="AB188" i="9" s="1"/>
  <c r="W189" i="14" s="1"/>
  <c r="V188" i="9"/>
  <c r="W188" i="9" s="1"/>
  <c r="X188" i="9" s="1"/>
  <c r="S189" i="14" s="1"/>
  <c r="R188" i="9"/>
  <c r="S188" i="9" s="1"/>
  <c r="T188" i="9" s="1"/>
  <c r="O189" i="14" s="1"/>
  <c r="N188" i="9"/>
  <c r="O188" i="9" s="1"/>
  <c r="P188" i="9" s="1"/>
  <c r="K189" i="14" s="1"/>
  <c r="F188" i="9"/>
  <c r="G188" i="9" s="1"/>
  <c r="H188" i="9" s="1"/>
  <c r="C189" i="14" s="1"/>
  <c r="D188" i="9"/>
  <c r="Z187" i="9"/>
  <c r="AA187" i="9" s="1"/>
  <c r="AB187" i="9" s="1"/>
  <c r="W188" i="14" s="1"/>
  <c r="V187" i="9"/>
  <c r="W187" i="9" s="1"/>
  <c r="X187" i="9" s="1"/>
  <c r="S188" i="14" s="1"/>
  <c r="R187" i="9"/>
  <c r="S187" i="9" s="1"/>
  <c r="T187" i="9" s="1"/>
  <c r="O188" i="14" s="1"/>
  <c r="N187" i="9"/>
  <c r="O187" i="9" s="1"/>
  <c r="P187" i="9" s="1"/>
  <c r="K188" i="14" s="1"/>
  <c r="F187" i="9"/>
  <c r="G187" i="9" s="1"/>
  <c r="H187" i="9" s="1"/>
  <c r="C188" i="14" s="1"/>
  <c r="D187" i="9"/>
  <c r="Z186" i="9"/>
  <c r="AA186" i="9" s="1"/>
  <c r="AB186" i="9" s="1"/>
  <c r="W187" i="14" s="1"/>
  <c r="V186" i="9"/>
  <c r="W186" i="9" s="1"/>
  <c r="X186" i="9" s="1"/>
  <c r="S187" i="14" s="1"/>
  <c r="R186" i="9"/>
  <c r="S186" i="9" s="1"/>
  <c r="T186" i="9" s="1"/>
  <c r="O187" i="14" s="1"/>
  <c r="N186" i="9"/>
  <c r="J187" i="14" s="1"/>
  <c r="F186" i="9"/>
  <c r="G186" i="9" s="1"/>
  <c r="H186" i="9" s="1"/>
  <c r="C187" i="14" s="1"/>
  <c r="D186" i="9"/>
  <c r="Z185" i="9"/>
  <c r="AA185" i="9" s="1"/>
  <c r="AB185" i="9" s="1"/>
  <c r="W186" i="14" s="1"/>
  <c r="V185" i="9"/>
  <c r="W185" i="9" s="1"/>
  <c r="X185" i="9" s="1"/>
  <c r="S186" i="14" s="1"/>
  <c r="R185" i="9"/>
  <c r="S185" i="9" s="1"/>
  <c r="T185" i="9" s="1"/>
  <c r="O186" i="14" s="1"/>
  <c r="N185" i="9"/>
  <c r="O185" i="9" s="1"/>
  <c r="P185" i="9" s="1"/>
  <c r="K186" i="14" s="1"/>
  <c r="F185" i="9"/>
  <c r="G185" i="9" s="1"/>
  <c r="H185" i="9" s="1"/>
  <c r="C186" i="14" s="1"/>
  <c r="D185" i="9"/>
  <c r="Z184" i="9"/>
  <c r="AA184" i="9" s="1"/>
  <c r="AB184" i="9" s="1"/>
  <c r="W185" i="14" s="1"/>
  <c r="V184" i="9"/>
  <c r="W184" i="9" s="1"/>
  <c r="X184" i="9" s="1"/>
  <c r="S185" i="14" s="1"/>
  <c r="R184" i="9"/>
  <c r="S184" i="9" s="1"/>
  <c r="T184" i="9" s="1"/>
  <c r="O185" i="14" s="1"/>
  <c r="N184" i="9"/>
  <c r="O184" i="9" s="1"/>
  <c r="P184" i="9" s="1"/>
  <c r="K185" i="14" s="1"/>
  <c r="F184" i="9"/>
  <c r="B185" i="14" s="1"/>
  <c r="D184" i="9"/>
  <c r="Z183" i="9"/>
  <c r="AA183" i="9" s="1"/>
  <c r="AB183" i="9" s="1"/>
  <c r="W184" i="14" s="1"/>
  <c r="V183" i="9"/>
  <c r="W183" i="9" s="1"/>
  <c r="X183" i="9" s="1"/>
  <c r="S184" i="14" s="1"/>
  <c r="R183" i="9"/>
  <c r="S183" i="9" s="1"/>
  <c r="T183" i="9" s="1"/>
  <c r="O184" i="14" s="1"/>
  <c r="N183" i="9"/>
  <c r="O183" i="9" s="1"/>
  <c r="P183" i="9" s="1"/>
  <c r="K184" i="14" s="1"/>
  <c r="F183" i="9"/>
  <c r="G183" i="9" s="1"/>
  <c r="H183" i="9" s="1"/>
  <c r="C184" i="14" s="1"/>
  <c r="D183" i="9"/>
  <c r="Z182" i="9"/>
  <c r="AA182" i="9" s="1"/>
  <c r="AB182" i="9" s="1"/>
  <c r="W183" i="14" s="1"/>
  <c r="V182" i="9"/>
  <c r="W182" i="9" s="1"/>
  <c r="X182" i="9" s="1"/>
  <c r="S183" i="14" s="1"/>
  <c r="R182" i="9"/>
  <c r="S182" i="9" s="1"/>
  <c r="T182" i="9" s="1"/>
  <c r="O183" i="14" s="1"/>
  <c r="N182" i="9"/>
  <c r="O182" i="9" s="1"/>
  <c r="P182" i="9" s="1"/>
  <c r="K183" i="14" s="1"/>
  <c r="F182" i="9"/>
  <c r="B183" i="14" s="1"/>
  <c r="D182" i="9"/>
  <c r="Z181" i="9"/>
  <c r="AA181" i="9" s="1"/>
  <c r="AB181" i="9" s="1"/>
  <c r="W182" i="14" s="1"/>
  <c r="V181" i="9"/>
  <c r="W181" i="9" s="1"/>
  <c r="X181" i="9" s="1"/>
  <c r="S182" i="14" s="1"/>
  <c r="R181" i="9"/>
  <c r="S181" i="9" s="1"/>
  <c r="T181" i="9" s="1"/>
  <c r="O182" i="14" s="1"/>
  <c r="N181" i="9"/>
  <c r="O181" i="9" s="1"/>
  <c r="P181" i="9" s="1"/>
  <c r="K182" i="14" s="1"/>
  <c r="F181" i="9"/>
  <c r="G181" i="9" s="1"/>
  <c r="H181" i="9" s="1"/>
  <c r="C182" i="14" s="1"/>
  <c r="D181" i="9"/>
  <c r="Z180" i="9"/>
  <c r="AA180" i="9" s="1"/>
  <c r="AB180" i="9" s="1"/>
  <c r="W181" i="14" s="1"/>
  <c r="V180" i="9"/>
  <c r="W180" i="9" s="1"/>
  <c r="X180" i="9" s="1"/>
  <c r="S181" i="14" s="1"/>
  <c r="R180" i="9"/>
  <c r="S180" i="9" s="1"/>
  <c r="T180" i="9" s="1"/>
  <c r="O181" i="14" s="1"/>
  <c r="N180" i="9"/>
  <c r="O180" i="9" s="1"/>
  <c r="P180" i="9" s="1"/>
  <c r="K181" i="14" s="1"/>
  <c r="F180" i="9"/>
  <c r="G180" i="9" s="1"/>
  <c r="H180" i="9" s="1"/>
  <c r="C181" i="14" s="1"/>
  <c r="D180" i="9"/>
  <c r="Z179" i="9"/>
  <c r="AA179" i="9" s="1"/>
  <c r="AB179" i="9" s="1"/>
  <c r="W180" i="14" s="1"/>
  <c r="V179" i="9"/>
  <c r="W179" i="9" s="1"/>
  <c r="X179" i="9" s="1"/>
  <c r="S180" i="14" s="1"/>
  <c r="R179" i="9"/>
  <c r="S179" i="9" s="1"/>
  <c r="T179" i="9" s="1"/>
  <c r="O180" i="14" s="1"/>
  <c r="N179" i="9"/>
  <c r="O179" i="9" s="1"/>
  <c r="P179" i="9" s="1"/>
  <c r="K180" i="14" s="1"/>
  <c r="F179" i="9"/>
  <c r="G179" i="9" s="1"/>
  <c r="H179" i="9" s="1"/>
  <c r="C180" i="14" s="1"/>
  <c r="D179" i="9"/>
  <c r="Z178" i="9"/>
  <c r="AA178" i="9" s="1"/>
  <c r="AB178" i="9" s="1"/>
  <c r="W179" i="14" s="1"/>
  <c r="V178" i="9"/>
  <c r="W178" i="9" s="1"/>
  <c r="X178" i="9" s="1"/>
  <c r="S179" i="14" s="1"/>
  <c r="R178" i="9"/>
  <c r="S178" i="9" s="1"/>
  <c r="T178" i="9" s="1"/>
  <c r="O179" i="14" s="1"/>
  <c r="N178" i="9"/>
  <c r="O178" i="9" s="1"/>
  <c r="P178" i="9" s="1"/>
  <c r="K179" i="14" s="1"/>
  <c r="F178" i="9"/>
  <c r="G178" i="9" s="1"/>
  <c r="H178" i="9" s="1"/>
  <c r="C179" i="14" s="1"/>
  <c r="D178" i="9"/>
  <c r="Z177" i="9"/>
  <c r="AA177" i="9" s="1"/>
  <c r="AB177" i="9" s="1"/>
  <c r="W178" i="14" s="1"/>
  <c r="V177" i="9"/>
  <c r="W177" i="9" s="1"/>
  <c r="X177" i="9" s="1"/>
  <c r="S178" i="14" s="1"/>
  <c r="R177" i="9"/>
  <c r="S177" i="9" s="1"/>
  <c r="T177" i="9" s="1"/>
  <c r="O178" i="14" s="1"/>
  <c r="N177" i="9"/>
  <c r="O177" i="9" s="1"/>
  <c r="P177" i="9" s="1"/>
  <c r="K178" i="14" s="1"/>
  <c r="F177" i="9"/>
  <c r="G177" i="9" s="1"/>
  <c r="H177" i="9" s="1"/>
  <c r="C178" i="14" s="1"/>
  <c r="D177" i="9"/>
  <c r="Z176" i="9"/>
  <c r="AA176" i="9" s="1"/>
  <c r="AB176" i="9" s="1"/>
  <c r="W177" i="14" s="1"/>
  <c r="V176" i="9"/>
  <c r="W176" i="9" s="1"/>
  <c r="X176" i="9" s="1"/>
  <c r="S177" i="14" s="1"/>
  <c r="R176" i="9"/>
  <c r="S176" i="9" s="1"/>
  <c r="T176" i="9" s="1"/>
  <c r="O177" i="14" s="1"/>
  <c r="N176" i="9"/>
  <c r="O176" i="9" s="1"/>
  <c r="P176" i="9" s="1"/>
  <c r="K177" i="14" s="1"/>
  <c r="F176" i="9"/>
  <c r="G176" i="9" s="1"/>
  <c r="H176" i="9" s="1"/>
  <c r="C177" i="14" s="1"/>
  <c r="D176" i="9"/>
  <c r="Z175" i="9"/>
  <c r="V176" i="14" s="1"/>
  <c r="V175" i="9"/>
  <c r="W175" i="9" s="1"/>
  <c r="X175" i="9" s="1"/>
  <c r="S176" i="14" s="1"/>
  <c r="R175" i="9"/>
  <c r="S175" i="9" s="1"/>
  <c r="T175" i="9" s="1"/>
  <c r="O176" i="14" s="1"/>
  <c r="N175" i="9"/>
  <c r="J176" i="14" s="1"/>
  <c r="F175" i="9"/>
  <c r="G175" i="9" s="1"/>
  <c r="H175" i="9" s="1"/>
  <c r="C176" i="14" s="1"/>
  <c r="D175" i="9"/>
  <c r="Z174" i="9"/>
  <c r="AA174" i="9" s="1"/>
  <c r="AB174" i="9" s="1"/>
  <c r="W175" i="14" s="1"/>
  <c r="V174" i="9"/>
  <c r="W174" i="9" s="1"/>
  <c r="X174" i="9" s="1"/>
  <c r="S175" i="14" s="1"/>
  <c r="R174" i="9"/>
  <c r="N174" i="9"/>
  <c r="O174" i="9" s="1"/>
  <c r="P174" i="9" s="1"/>
  <c r="K175" i="14" s="1"/>
  <c r="F174" i="9"/>
  <c r="G174" i="9" s="1"/>
  <c r="H174" i="9" s="1"/>
  <c r="C175" i="14" s="1"/>
  <c r="D174" i="9"/>
  <c r="Z173" i="9"/>
  <c r="AA173" i="9" s="1"/>
  <c r="AB173" i="9" s="1"/>
  <c r="W174" i="14" s="1"/>
  <c r="V173" i="9"/>
  <c r="W173" i="9" s="1"/>
  <c r="X173" i="9" s="1"/>
  <c r="S174" i="14" s="1"/>
  <c r="R173" i="9"/>
  <c r="S173" i="9" s="1"/>
  <c r="T173" i="9" s="1"/>
  <c r="O174" i="14" s="1"/>
  <c r="N173" i="9"/>
  <c r="O173" i="9" s="1"/>
  <c r="P173" i="9" s="1"/>
  <c r="K174" i="14" s="1"/>
  <c r="F173" i="9"/>
  <c r="G173" i="9" s="1"/>
  <c r="H173" i="9" s="1"/>
  <c r="C174" i="14" s="1"/>
  <c r="D173" i="9"/>
  <c r="Z172" i="9"/>
  <c r="AA172" i="9" s="1"/>
  <c r="AB172" i="9" s="1"/>
  <c r="W173" i="14" s="1"/>
  <c r="V172" i="9"/>
  <c r="W172" i="9" s="1"/>
  <c r="X172" i="9" s="1"/>
  <c r="S173" i="14" s="1"/>
  <c r="R172" i="9"/>
  <c r="S172" i="9" s="1"/>
  <c r="T172" i="9" s="1"/>
  <c r="O173" i="14" s="1"/>
  <c r="N172" i="9"/>
  <c r="O172" i="9" s="1"/>
  <c r="P172" i="9" s="1"/>
  <c r="K173" i="14" s="1"/>
  <c r="F172" i="9"/>
  <c r="G172" i="9" s="1"/>
  <c r="H172" i="9" s="1"/>
  <c r="C173" i="14" s="1"/>
  <c r="D172" i="9"/>
  <c r="Z171" i="9"/>
  <c r="AA171" i="9" s="1"/>
  <c r="AB171" i="9" s="1"/>
  <c r="W172" i="14" s="1"/>
  <c r="V171" i="9"/>
  <c r="W171" i="9" s="1"/>
  <c r="X171" i="9" s="1"/>
  <c r="S172" i="14" s="1"/>
  <c r="R171" i="9"/>
  <c r="S171" i="9" s="1"/>
  <c r="T171" i="9" s="1"/>
  <c r="O172" i="14" s="1"/>
  <c r="N171" i="9"/>
  <c r="O171" i="9" s="1"/>
  <c r="P171" i="9" s="1"/>
  <c r="K172" i="14" s="1"/>
  <c r="F171" i="9"/>
  <c r="G171" i="9" s="1"/>
  <c r="H171" i="9" s="1"/>
  <c r="C172" i="14" s="1"/>
  <c r="D171" i="9"/>
  <c r="Z170" i="9"/>
  <c r="AA170" i="9" s="1"/>
  <c r="AB170" i="9" s="1"/>
  <c r="W171" i="14" s="1"/>
  <c r="V170" i="9"/>
  <c r="R171" i="14" s="1"/>
  <c r="R170" i="9"/>
  <c r="N171" i="14" s="1"/>
  <c r="N170" i="9"/>
  <c r="J171" i="14" s="1"/>
  <c r="F170" i="9"/>
  <c r="G170" i="9" s="1"/>
  <c r="H170" i="9" s="1"/>
  <c r="C171" i="14" s="1"/>
  <c r="D170" i="9"/>
  <c r="Z169" i="9"/>
  <c r="AA169" i="9" s="1"/>
  <c r="AB169" i="9" s="1"/>
  <c r="W170" i="14" s="1"/>
  <c r="V169" i="9"/>
  <c r="W169" i="9" s="1"/>
  <c r="X169" i="9" s="1"/>
  <c r="S170" i="14" s="1"/>
  <c r="R169" i="9"/>
  <c r="S169" i="9" s="1"/>
  <c r="T169" i="9" s="1"/>
  <c r="O170" i="14" s="1"/>
  <c r="N169" i="9"/>
  <c r="O169" i="9" s="1"/>
  <c r="P169" i="9" s="1"/>
  <c r="K170" i="14" s="1"/>
  <c r="F169" i="9"/>
  <c r="G169" i="9" s="1"/>
  <c r="H169" i="9" s="1"/>
  <c r="C170" i="14" s="1"/>
  <c r="D169" i="9"/>
  <c r="Z168" i="9"/>
  <c r="AA168" i="9" s="1"/>
  <c r="AB168" i="9" s="1"/>
  <c r="W169" i="14" s="1"/>
  <c r="V168" i="9"/>
  <c r="R169" i="14" s="1"/>
  <c r="R168" i="9"/>
  <c r="S168" i="9" s="1"/>
  <c r="T168" i="9" s="1"/>
  <c r="O169" i="14" s="1"/>
  <c r="N168" i="9"/>
  <c r="O168" i="9" s="1"/>
  <c r="P168" i="9" s="1"/>
  <c r="K169" i="14" s="1"/>
  <c r="F168" i="9"/>
  <c r="G168" i="9" s="1"/>
  <c r="H168" i="9" s="1"/>
  <c r="C169" i="14" s="1"/>
  <c r="D168" i="9"/>
  <c r="Z167" i="9"/>
  <c r="AA167" i="9" s="1"/>
  <c r="AB167" i="9" s="1"/>
  <c r="W168" i="14" s="1"/>
  <c r="V167" i="9"/>
  <c r="R168" i="14" s="1"/>
  <c r="R167" i="9"/>
  <c r="S167" i="9" s="1"/>
  <c r="T167" i="9" s="1"/>
  <c r="O168" i="14" s="1"/>
  <c r="N167" i="9"/>
  <c r="O167" i="9" s="1"/>
  <c r="P167" i="9" s="1"/>
  <c r="K168" i="14" s="1"/>
  <c r="F167" i="9"/>
  <c r="G167" i="9" s="1"/>
  <c r="H167" i="9" s="1"/>
  <c r="C168" i="14" s="1"/>
  <c r="D167" i="9"/>
  <c r="Z166" i="9"/>
  <c r="AA166" i="9" s="1"/>
  <c r="AB166" i="9" s="1"/>
  <c r="W167" i="14" s="1"/>
  <c r="V166" i="9"/>
  <c r="W166" i="9" s="1"/>
  <c r="X166" i="9" s="1"/>
  <c r="S167" i="14" s="1"/>
  <c r="R166" i="9"/>
  <c r="S166" i="9" s="1"/>
  <c r="T166" i="9" s="1"/>
  <c r="O167" i="14" s="1"/>
  <c r="N166" i="9"/>
  <c r="O166" i="9" s="1"/>
  <c r="P166" i="9" s="1"/>
  <c r="K167" i="14" s="1"/>
  <c r="F166" i="9"/>
  <c r="G166" i="9" s="1"/>
  <c r="H166" i="9" s="1"/>
  <c r="C167" i="14" s="1"/>
  <c r="D166" i="9"/>
  <c r="Z165" i="9"/>
  <c r="AA165" i="9" s="1"/>
  <c r="AB165" i="9" s="1"/>
  <c r="W166" i="14" s="1"/>
  <c r="V165" i="9"/>
  <c r="W165" i="9" s="1"/>
  <c r="X165" i="9" s="1"/>
  <c r="S166" i="14" s="1"/>
  <c r="R165" i="9"/>
  <c r="N166" i="14" s="1"/>
  <c r="N165" i="9"/>
  <c r="O165" i="9" s="1"/>
  <c r="P165" i="9" s="1"/>
  <c r="K166" i="14" s="1"/>
  <c r="F165" i="9"/>
  <c r="G165" i="9" s="1"/>
  <c r="H165" i="9" s="1"/>
  <c r="C166" i="14" s="1"/>
  <c r="D165" i="9"/>
  <c r="Z164" i="9"/>
  <c r="V165" i="14" s="1"/>
  <c r="V164" i="9"/>
  <c r="W164" i="9" s="1"/>
  <c r="X164" i="9" s="1"/>
  <c r="S165" i="14" s="1"/>
  <c r="R164" i="9"/>
  <c r="N164" i="9"/>
  <c r="J165" i="14" s="1"/>
  <c r="F164" i="9"/>
  <c r="G164" i="9" s="1"/>
  <c r="H164" i="9" s="1"/>
  <c r="C165" i="14" s="1"/>
  <c r="D164" i="9"/>
  <c r="Z163" i="9"/>
  <c r="AA163" i="9" s="1"/>
  <c r="AB163" i="9" s="1"/>
  <c r="W164" i="14" s="1"/>
  <c r="V163" i="9"/>
  <c r="R164" i="14" s="1"/>
  <c r="R163" i="9"/>
  <c r="N164" i="14" s="1"/>
  <c r="N163" i="9"/>
  <c r="O163" i="9" s="1"/>
  <c r="P163" i="9" s="1"/>
  <c r="K164" i="14" s="1"/>
  <c r="F163" i="9"/>
  <c r="G163" i="9" s="1"/>
  <c r="H163" i="9" s="1"/>
  <c r="C164" i="14" s="1"/>
  <c r="D163" i="9"/>
  <c r="Z162" i="9"/>
  <c r="AA162" i="9" s="1"/>
  <c r="AB162" i="9" s="1"/>
  <c r="W163" i="14" s="1"/>
  <c r="V162" i="9"/>
  <c r="W162" i="9" s="1"/>
  <c r="X162" i="9" s="1"/>
  <c r="S163" i="14" s="1"/>
  <c r="R162" i="9"/>
  <c r="S162" i="9" s="1"/>
  <c r="T162" i="9" s="1"/>
  <c r="O163" i="14" s="1"/>
  <c r="N162" i="9"/>
  <c r="O162" i="9" s="1"/>
  <c r="P162" i="9" s="1"/>
  <c r="K163" i="14" s="1"/>
  <c r="F162" i="9"/>
  <c r="G162" i="9" s="1"/>
  <c r="H162" i="9" s="1"/>
  <c r="C163" i="14" s="1"/>
  <c r="D162" i="9"/>
  <c r="Z161" i="9"/>
  <c r="AA161" i="9" s="1"/>
  <c r="AB161" i="9" s="1"/>
  <c r="W162" i="14" s="1"/>
  <c r="V161" i="9"/>
  <c r="W161" i="9" s="1"/>
  <c r="X161" i="9" s="1"/>
  <c r="S162" i="14" s="1"/>
  <c r="R161" i="9"/>
  <c r="S161" i="9" s="1"/>
  <c r="T161" i="9" s="1"/>
  <c r="O162" i="14" s="1"/>
  <c r="N161" i="9"/>
  <c r="O161" i="9" s="1"/>
  <c r="P161" i="9" s="1"/>
  <c r="K162" i="14" s="1"/>
  <c r="F161" i="9"/>
  <c r="G161" i="9" s="1"/>
  <c r="H161" i="9" s="1"/>
  <c r="C162" i="14" s="1"/>
  <c r="D161" i="9"/>
  <c r="Z160" i="9"/>
  <c r="AA160" i="9" s="1"/>
  <c r="AB160" i="9" s="1"/>
  <c r="W161" i="14" s="1"/>
  <c r="V160" i="9"/>
  <c r="W160" i="9" s="1"/>
  <c r="X160" i="9" s="1"/>
  <c r="S161" i="14" s="1"/>
  <c r="R160" i="9"/>
  <c r="S160" i="9" s="1"/>
  <c r="T160" i="9" s="1"/>
  <c r="O161" i="14" s="1"/>
  <c r="N160" i="9"/>
  <c r="O160" i="9" s="1"/>
  <c r="P160" i="9" s="1"/>
  <c r="K161" i="14" s="1"/>
  <c r="F160" i="9"/>
  <c r="G160" i="9" s="1"/>
  <c r="H160" i="9" s="1"/>
  <c r="C161" i="14" s="1"/>
  <c r="D160" i="9"/>
  <c r="Z159" i="9"/>
  <c r="AA159" i="9" s="1"/>
  <c r="AB159" i="9" s="1"/>
  <c r="W160" i="14" s="1"/>
  <c r="V159" i="9"/>
  <c r="W159" i="9" s="1"/>
  <c r="X159" i="9" s="1"/>
  <c r="S160" i="14" s="1"/>
  <c r="R159" i="9"/>
  <c r="S159" i="9" s="1"/>
  <c r="T159" i="9" s="1"/>
  <c r="O160" i="14" s="1"/>
  <c r="N159" i="9"/>
  <c r="O159" i="9" s="1"/>
  <c r="P159" i="9" s="1"/>
  <c r="K160" i="14" s="1"/>
  <c r="F159" i="9"/>
  <c r="G159" i="9" s="1"/>
  <c r="H159" i="9" s="1"/>
  <c r="C160" i="14" s="1"/>
  <c r="D159" i="9"/>
  <c r="Z158" i="9"/>
  <c r="AA158" i="9" s="1"/>
  <c r="AB158" i="9" s="1"/>
  <c r="W159" i="14" s="1"/>
  <c r="V158" i="9"/>
  <c r="W158" i="9" s="1"/>
  <c r="X158" i="9" s="1"/>
  <c r="S159" i="14" s="1"/>
  <c r="R158" i="9"/>
  <c r="S158" i="9" s="1"/>
  <c r="T158" i="9" s="1"/>
  <c r="O159" i="14" s="1"/>
  <c r="N158" i="9"/>
  <c r="J159" i="14" s="1"/>
  <c r="F158" i="9"/>
  <c r="G158" i="9" s="1"/>
  <c r="H158" i="9" s="1"/>
  <c r="C159" i="14" s="1"/>
  <c r="D158" i="9"/>
  <c r="Z157" i="9"/>
  <c r="AA157" i="9" s="1"/>
  <c r="AB157" i="9" s="1"/>
  <c r="W158" i="14" s="1"/>
  <c r="V157" i="9"/>
  <c r="R158" i="14" s="1"/>
  <c r="R157" i="9"/>
  <c r="S157" i="9" s="1"/>
  <c r="T157" i="9" s="1"/>
  <c r="O158" i="14" s="1"/>
  <c r="N157" i="9"/>
  <c r="O157" i="9" s="1"/>
  <c r="P157" i="9" s="1"/>
  <c r="K158" i="14" s="1"/>
  <c r="F157" i="9"/>
  <c r="G157" i="9" s="1"/>
  <c r="H157" i="9" s="1"/>
  <c r="C158" i="14" s="1"/>
  <c r="D157" i="9"/>
  <c r="Z156" i="9"/>
  <c r="AA156" i="9" s="1"/>
  <c r="AB156" i="9" s="1"/>
  <c r="W157" i="14" s="1"/>
  <c r="V156" i="9"/>
  <c r="W156" i="9" s="1"/>
  <c r="X156" i="9" s="1"/>
  <c r="S157" i="14" s="1"/>
  <c r="R156" i="9"/>
  <c r="S156" i="9" s="1"/>
  <c r="T156" i="9" s="1"/>
  <c r="O157" i="14" s="1"/>
  <c r="N156" i="9"/>
  <c r="O156" i="9" s="1"/>
  <c r="P156" i="9" s="1"/>
  <c r="K157" i="14" s="1"/>
  <c r="F156" i="9"/>
  <c r="B157" i="14" s="1"/>
  <c r="D156" i="9"/>
  <c r="Z155" i="9"/>
  <c r="AA155" i="9" s="1"/>
  <c r="AB155" i="9" s="1"/>
  <c r="W156" i="14" s="1"/>
  <c r="V155" i="9"/>
  <c r="W155" i="9" s="1"/>
  <c r="X155" i="9" s="1"/>
  <c r="S156" i="14" s="1"/>
  <c r="R155" i="9"/>
  <c r="S155" i="9" s="1"/>
  <c r="T155" i="9" s="1"/>
  <c r="O156" i="14" s="1"/>
  <c r="N155" i="9"/>
  <c r="J156" i="14" s="1"/>
  <c r="F155" i="9"/>
  <c r="G155" i="9" s="1"/>
  <c r="H155" i="9" s="1"/>
  <c r="C156" i="14" s="1"/>
  <c r="D155" i="9"/>
  <c r="Z154" i="9"/>
  <c r="AA154" i="9" s="1"/>
  <c r="AB154" i="9" s="1"/>
  <c r="W155" i="14" s="1"/>
  <c r="V154" i="9"/>
  <c r="R155" i="14" s="1"/>
  <c r="R154" i="9"/>
  <c r="S154" i="9" s="1"/>
  <c r="T154" i="9" s="1"/>
  <c r="O155" i="14" s="1"/>
  <c r="N154" i="9"/>
  <c r="O154" i="9" s="1"/>
  <c r="P154" i="9" s="1"/>
  <c r="K155" i="14" s="1"/>
  <c r="F154" i="9"/>
  <c r="G154" i="9" s="1"/>
  <c r="H154" i="9" s="1"/>
  <c r="C155" i="14" s="1"/>
  <c r="D154" i="9"/>
  <c r="Z153" i="9"/>
  <c r="AA153" i="9" s="1"/>
  <c r="AB153" i="9" s="1"/>
  <c r="W154" i="14" s="1"/>
  <c r="V153" i="9"/>
  <c r="W153" i="9" s="1"/>
  <c r="X153" i="9" s="1"/>
  <c r="S154" i="14" s="1"/>
  <c r="R153" i="9"/>
  <c r="S153" i="9" s="1"/>
  <c r="T153" i="9" s="1"/>
  <c r="O154" i="14" s="1"/>
  <c r="N153" i="9"/>
  <c r="O153" i="9" s="1"/>
  <c r="P153" i="9" s="1"/>
  <c r="K154" i="14" s="1"/>
  <c r="F153" i="9"/>
  <c r="G153" i="9" s="1"/>
  <c r="H153" i="9" s="1"/>
  <c r="C154" i="14" s="1"/>
  <c r="D153" i="9"/>
  <c r="Z152" i="9"/>
  <c r="AA152" i="9" s="1"/>
  <c r="AB152" i="9" s="1"/>
  <c r="W153" i="14" s="1"/>
  <c r="V152" i="9"/>
  <c r="W152" i="9" s="1"/>
  <c r="X152" i="9" s="1"/>
  <c r="S153" i="14" s="1"/>
  <c r="R152" i="9"/>
  <c r="S152" i="9" s="1"/>
  <c r="T152" i="9" s="1"/>
  <c r="O153" i="14" s="1"/>
  <c r="N152" i="9"/>
  <c r="O152" i="9" s="1"/>
  <c r="P152" i="9" s="1"/>
  <c r="K153" i="14" s="1"/>
  <c r="F152" i="9"/>
  <c r="G152" i="9" s="1"/>
  <c r="H152" i="9" s="1"/>
  <c r="C153" i="14" s="1"/>
  <c r="D152" i="9"/>
  <c r="Z151" i="9"/>
  <c r="V152" i="14" s="1"/>
  <c r="V151" i="9"/>
  <c r="W151" i="9" s="1"/>
  <c r="X151" i="9" s="1"/>
  <c r="S152" i="14" s="1"/>
  <c r="R151" i="9"/>
  <c r="S151" i="9" s="1"/>
  <c r="T151" i="9" s="1"/>
  <c r="O152" i="14" s="1"/>
  <c r="N151" i="9"/>
  <c r="O151" i="9" s="1"/>
  <c r="P151" i="9" s="1"/>
  <c r="K152" i="14" s="1"/>
  <c r="F151" i="9"/>
  <c r="G151" i="9" s="1"/>
  <c r="H151" i="9" s="1"/>
  <c r="C152" i="14" s="1"/>
  <c r="D151" i="9"/>
  <c r="Z150" i="9"/>
  <c r="AA150" i="9" s="1"/>
  <c r="AB150" i="9" s="1"/>
  <c r="W151" i="14" s="1"/>
  <c r="V150" i="9"/>
  <c r="W150" i="9" s="1"/>
  <c r="X150" i="9" s="1"/>
  <c r="S151" i="14" s="1"/>
  <c r="R150" i="9"/>
  <c r="S150" i="9" s="1"/>
  <c r="T150" i="9" s="1"/>
  <c r="O151" i="14" s="1"/>
  <c r="N150" i="9"/>
  <c r="O150" i="9" s="1"/>
  <c r="P150" i="9" s="1"/>
  <c r="K151" i="14" s="1"/>
  <c r="F150" i="9"/>
  <c r="G150" i="9" s="1"/>
  <c r="H150" i="9" s="1"/>
  <c r="C151" i="14" s="1"/>
  <c r="D150" i="9"/>
  <c r="Z149" i="9"/>
  <c r="AA149" i="9" s="1"/>
  <c r="AB149" i="9" s="1"/>
  <c r="W150" i="14" s="1"/>
  <c r="V149" i="9"/>
  <c r="W149" i="9" s="1"/>
  <c r="X149" i="9" s="1"/>
  <c r="S150" i="14" s="1"/>
  <c r="R149" i="9"/>
  <c r="S149" i="9" s="1"/>
  <c r="T149" i="9" s="1"/>
  <c r="O150" i="14" s="1"/>
  <c r="N149" i="9"/>
  <c r="O149" i="9" s="1"/>
  <c r="P149" i="9" s="1"/>
  <c r="K150" i="14" s="1"/>
  <c r="F149" i="9"/>
  <c r="G149" i="9" s="1"/>
  <c r="H149" i="9" s="1"/>
  <c r="C150" i="14" s="1"/>
  <c r="D149" i="9"/>
  <c r="Z148" i="9"/>
  <c r="AA148" i="9" s="1"/>
  <c r="AB148" i="9" s="1"/>
  <c r="W149" i="14" s="1"/>
  <c r="V148" i="9"/>
  <c r="W148" i="9" s="1"/>
  <c r="X148" i="9" s="1"/>
  <c r="S149" i="14" s="1"/>
  <c r="R148" i="9"/>
  <c r="S148" i="9" s="1"/>
  <c r="T148" i="9" s="1"/>
  <c r="O149" i="14" s="1"/>
  <c r="N148" i="9"/>
  <c r="O148" i="9" s="1"/>
  <c r="P148" i="9" s="1"/>
  <c r="K149" i="14" s="1"/>
  <c r="F148" i="9"/>
  <c r="B149" i="14" s="1"/>
  <c r="D148" i="9"/>
  <c r="Z147" i="9"/>
  <c r="AA147" i="9" s="1"/>
  <c r="AB147" i="9" s="1"/>
  <c r="W148" i="14" s="1"/>
  <c r="V147" i="9"/>
  <c r="W147" i="9" s="1"/>
  <c r="X147" i="9" s="1"/>
  <c r="S148" i="14" s="1"/>
  <c r="R147" i="9"/>
  <c r="S147" i="9" s="1"/>
  <c r="T147" i="9" s="1"/>
  <c r="O148" i="14" s="1"/>
  <c r="N147" i="9"/>
  <c r="O147" i="9" s="1"/>
  <c r="P147" i="9" s="1"/>
  <c r="K148" i="14" s="1"/>
  <c r="F147" i="9"/>
  <c r="G147" i="9" s="1"/>
  <c r="H147" i="9" s="1"/>
  <c r="C148" i="14" s="1"/>
  <c r="D147" i="9"/>
  <c r="Z146" i="9"/>
  <c r="AA146" i="9" s="1"/>
  <c r="AB146" i="9" s="1"/>
  <c r="W147" i="14" s="1"/>
  <c r="V146" i="9"/>
  <c r="W146" i="9" s="1"/>
  <c r="X146" i="9" s="1"/>
  <c r="S147" i="14" s="1"/>
  <c r="R146" i="9"/>
  <c r="S146" i="9" s="1"/>
  <c r="T146" i="9" s="1"/>
  <c r="O147" i="14" s="1"/>
  <c r="N146" i="9"/>
  <c r="O146" i="9" s="1"/>
  <c r="P146" i="9" s="1"/>
  <c r="K147" i="14" s="1"/>
  <c r="F146" i="9"/>
  <c r="G146" i="9" s="1"/>
  <c r="H146" i="9" s="1"/>
  <c r="C147" i="14" s="1"/>
  <c r="D146" i="9"/>
  <c r="Z145" i="9"/>
  <c r="AA145" i="9" s="1"/>
  <c r="AB145" i="9" s="1"/>
  <c r="W146" i="14" s="1"/>
  <c r="V145" i="9"/>
  <c r="R146" i="14" s="1"/>
  <c r="R145" i="9"/>
  <c r="S145" i="9" s="1"/>
  <c r="T145" i="9" s="1"/>
  <c r="O146" i="14" s="1"/>
  <c r="N145" i="9"/>
  <c r="O145" i="9" s="1"/>
  <c r="P145" i="9" s="1"/>
  <c r="K146" i="14" s="1"/>
  <c r="F145" i="9"/>
  <c r="G145" i="9" s="1"/>
  <c r="H145" i="9" s="1"/>
  <c r="C146" i="14" s="1"/>
  <c r="D145" i="9"/>
  <c r="Z144" i="9"/>
  <c r="V145" i="14" s="1"/>
  <c r="V144" i="9"/>
  <c r="W144" i="9" s="1"/>
  <c r="X144" i="9" s="1"/>
  <c r="S145" i="14" s="1"/>
  <c r="R144" i="9"/>
  <c r="N145" i="14" s="1"/>
  <c r="N144" i="9"/>
  <c r="O144" i="9" s="1"/>
  <c r="P144" i="9" s="1"/>
  <c r="K145" i="14" s="1"/>
  <c r="F144" i="9"/>
  <c r="G144" i="9" s="1"/>
  <c r="H144" i="9" s="1"/>
  <c r="C145" i="14" s="1"/>
  <c r="D144" i="9"/>
  <c r="Z143" i="9"/>
  <c r="AA143" i="9" s="1"/>
  <c r="AB143" i="9" s="1"/>
  <c r="W144" i="14" s="1"/>
  <c r="V143" i="9"/>
  <c r="W143" i="9" s="1"/>
  <c r="X143" i="9" s="1"/>
  <c r="S144" i="14" s="1"/>
  <c r="R143" i="9"/>
  <c r="S143" i="9" s="1"/>
  <c r="T143" i="9" s="1"/>
  <c r="O144" i="14" s="1"/>
  <c r="N143" i="9"/>
  <c r="J144" i="14" s="1"/>
  <c r="F143" i="9"/>
  <c r="G143" i="9" s="1"/>
  <c r="H143" i="9" s="1"/>
  <c r="C144" i="14" s="1"/>
  <c r="D143" i="9"/>
  <c r="Z142" i="9"/>
  <c r="AA142" i="9" s="1"/>
  <c r="AB142" i="9" s="1"/>
  <c r="W143" i="14" s="1"/>
  <c r="V142" i="9"/>
  <c r="R143" i="14" s="1"/>
  <c r="R142" i="9"/>
  <c r="S142" i="9" s="1"/>
  <c r="T142" i="9" s="1"/>
  <c r="O143" i="14" s="1"/>
  <c r="N142" i="9"/>
  <c r="O142" i="9" s="1"/>
  <c r="P142" i="9" s="1"/>
  <c r="K143" i="14" s="1"/>
  <c r="F142" i="9"/>
  <c r="G142" i="9" s="1"/>
  <c r="H142" i="9" s="1"/>
  <c r="C143" i="14" s="1"/>
  <c r="D142" i="9"/>
  <c r="Z141" i="9"/>
  <c r="AA141" i="9" s="1"/>
  <c r="AB141" i="9" s="1"/>
  <c r="W142" i="14" s="1"/>
  <c r="V141" i="9"/>
  <c r="R142" i="14" s="1"/>
  <c r="R141" i="9"/>
  <c r="S141" i="9" s="1"/>
  <c r="T141" i="9" s="1"/>
  <c r="O142" i="14" s="1"/>
  <c r="N141" i="9"/>
  <c r="J142" i="14" s="1"/>
  <c r="F141" i="9"/>
  <c r="G141" i="9" s="1"/>
  <c r="H141" i="9" s="1"/>
  <c r="C142" i="14" s="1"/>
  <c r="D141" i="9"/>
  <c r="Z140" i="9"/>
  <c r="AA140" i="9" s="1"/>
  <c r="AB140" i="9" s="1"/>
  <c r="W141" i="14" s="1"/>
  <c r="V140" i="9"/>
  <c r="W140" i="9" s="1"/>
  <c r="X140" i="9" s="1"/>
  <c r="S141" i="14" s="1"/>
  <c r="R140" i="9"/>
  <c r="S140" i="9" s="1"/>
  <c r="T140" i="9" s="1"/>
  <c r="O141" i="14" s="1"/>
  <c r="N140" i="9"/>
  <c r="O140" i="9" s="1"/>
  <c r="P140" i="9" s="1"/>
  <c r="K141" i="14" s="1"/>
  <c r="F140" i="9"/>
  <c r="G140" i="9" s="1"/>
  <c r="H140" i="9" s="1"/>
  <c r="C141" i="14" s="1"/>
  <c r="D140" i="9"/>
  <c r="Z139" i="9"/>
  <c r="AA139" i="9" s="1"/>
  <c r="AB139" i="9" s="1"/>
  <c r="W140" i="14" s="1"/>
  <c r="V139" i="9"/>
  <c r="R140" i="14" s="1"/>
  <c r="R139" i="9"/>
  <c r="S139" i="9" s="1"/>
  <c r="T139" i="9" s="1"/>
  <c r="O140" i="14" s="1"/>
  <c r="N139" i="9"/>
  <c r="O139" i="9" s="1"/>
  <c r="P139" i="9" s="1"/>
  <c r="K140" i="14" s="1"/>
  <c r="F139" i="9"/>
  <c r="G139" i="9" s="1"/>
  <c r="H139" i="9" s="1"/>
  <c r="C140" i="14" s="1"/>
  <c r="D139" i="9"/>
  <c r="Z138" i="9"/>
  <c r="AA138" i="9" s="1"/>
  <c r="AB138" i="9" s="1"/>
  <c r="W139" i="14" s="1"/>
  <c r="V138" i="9"/>
  <c r="W138" i="9" s="1"/>
  <c r="X138" i="9" s="1"/>
  <c r="S139" i="14" s="1"/>
  <c r="R138" i="9"/>
  <c r="N138" i="9"/>
  <c r="O138" i="9" s="1"/>
  <c r="P138" i="9" s="1"/>
  <c r="K139" i="14" s="1"/>
  <c r="F138" i="9"/>
  <c r="G138" i="9" s="1"/>
  <c r="H138" i="9" s="1"/>
  <c r="C139" i="14" s="1"/>
  <c r="D138" i="9"/>
  <c r="Z137" i="9"/>
  <c r="V138" i="14" s="1"/>
  <c r="V137" i="9"/>
  <c r="W137" i="9" s="1"/>
  <c r="X137" i="9" s="1"/>
  <c r="S138" i="14" s="1"/>
  <c r="R137" i="9"/>
  <c r="S137" i="9" s="1"/>
  <c r="T137" i="9" s="1"/>
  <c r="O138" i="14" s="1"/>
  <c r="N137" i="9"/>
  <c r="O137" i="9" s="1"/>
  <c r="P137" i="9" s="1"/>
  <c r="K138" i="14" s="1"/>
  <c r="F137" i="9"/>
  <c r="G137" i="9" s="1"/>
  <c r="H137" i="9" s="1"/>
  <c r="C138" i="14" s="1"/>
  <c r="D137" i="9"/>
  <c r="Z136" i="9"/>
  <c r="AA136" i="9" s="1"/>
  <c r="AB136" i="9" s="1"/>
  <c r="W137" i="14" s="1"/>
  <c r="V136" i="9"/>
  <c r="W136" i="9" s="1"/>
  <c r="X136" i="9" s="1"/>
  <c r="S137" i="14" s="1"/>
  <c r="R136" i="9"/>
  <c r="S136" i="9" s="1"/>
  <c r="T136" i="9" s="1"/>
  <c r="O137" i="14" s="1"/>
  <c r="N136" i="9"/>
  <c r="O136" i="9" s="1"/>
  <c r="P136" i="9" s="1"/>
  <c r="K137" i="14" s="1"/>
  <c r="F136" i="9"/>
  <c r="B137" i="14" s="1"/>
  <c r="D136" i="9"/>
  <c r="Z135" i="9"/>
  <c r="AA135" i="9" s="1"/>
  <c r="AB135" i="9" s="1"/>
  <c r="W136" i="14" s="1"/>
  <c r="V135" i="9"/>
  <c r="W135" i="9" s="1"/>
  <c r="X135" i="9" s="1"/>
  <c r="S136" i="14" s="1"/>
  <c r="R135" i="9"/>
  <c r="S135" i="9" s="1"/>
  <c r="T135" i="9" s="1"/>
  <c r="O136" i="14" s="1"/>
  <c r="N135" i="9"/>
  <c r="O135" i="9" s="1"/>
  <c r="P135" i="9" s="1"/>
  <c r="K136" i="14" s="1"/>
  <c r="F135" i="9"/>
  <c r="G135" i="9" s="1"/>
  <c r="H135" i="9" s="1"/>
  <c r="C136" i="14" s="1"/>
  <c r="D135" i="9"/>
  <c r="Z134" i="9"/>
  <c r="AA134" i="9" s="1"/>
  <c r="AB134" i="9" s="1"/>
  <c r="W135" i="14" s="1"/>
  <c r="V134" i="9"/>
  <c r="W134" i="9" s="1"/>
  <c r="X134" i="9" s="1"/>
  <c r="S135" i="14" s="1"/>
  <c r="R134" i="9"/>
  <c r="S134" i="9" s="1"/>
  <c r="T134" i="9" s="1"/>
  <c r="O135" i="14" s="1"/>
  <c r="N134" i="9"/>
  <c r="O134" i="9" s="1"/>
  <c r="P134" i="9" s="1"/>
  <c r="K135" i="14" s="1"/>
  <c r="F134" i="9"/>
  <c r="G134" i="9" s="1"/>
  <c r="H134" i="9" s="1"/>
  <c r="C135" i="14" s="1"/>
  <c r="D134" i="9"/>
  <c r="Z133" i="9"/>
  <c r="AA133" i="9" s="1"/>
  <c r="AB133" i="9" s="1"/>
  <c r="W134" i="14" s="1"/>
  <c r="V133" i="9"/>
  <c r="W133" i="9" s="1"/>
  <c r="X133" i="9" s="1"/>
  <c r="S134" i="14" s="1"/>
  <c r="R133" i="9"/>
  <c r="S133" i="9" s="1"/>
  <c r="T133" i="9" s="1"/>
  <c r="O134" i="14" s="1"/>
  <c r="N133" i="9"/>
  <c r="O133" i="9" s="1"/>
  <c r="P133" i="9" s="1"/>
  <c r="K134" i="14" s="1"/>
  <c r="F133" i="9"/>
  <c r="G133" i="9" s="1"/>
  <c r="H133" i="9" s="1"/>
  <c r="C134" i="14" s="1"/>
  <c r="D133" i="9"/>
  <c r="Z132" i="9"/>
  <c r="AA132" i="9" s="1"/>
  <c r="AB132" i="9" s="1"/>
  <c r="W133" i="14" s="1"/>
  <c r="V132" i="9"/>
  <c r="W132" i="9" s="1"/>
  <c r="X132" i="9" s="1"/>
  <c r="S133" i="14" s="1"/>
  <c r="R132" i="9"/>
  <c r="N132" i="9"/>
  <c r="O132" i="9" s="1"/>
  <c r="P132" i="9" s="1"/>
  <c r="K133" i="14" s="1"/>
  <c r="F132" i="9"/>
  <c r="G132" i="9" s="1"/>
  <c r="H132" i="9" s="1"/>
  <c r="C133" i="14" s="1"/>
  <c r="D132" i="9"/>
  <c r="Z131" i="9"/>
  <c r="AA131" i="9" s="1"/>
  <c r="AB131" i="9" s="1"/>
  <c r="W132" i="14" s="1"/>
  <c r="V131" i="9"/>
  <c r="W131" i="9" s="1"/>
  <c r="X131" i="9" s="1"/>
  <c r="S132" i="14" s="1"/>
  <c r="R131" i="9"/>
  <c r="S131" i="9" s="1"/>
  <c r="T131" i="9" s="1"/>
  <c r="O132" i="14" s="1"/>
  <c r="N131" i="9"/>
  <c r="O131" i="9" s="1"/>
  <c r="P131" i="9" s="1"/>
  <c r="K132" i="14" s="1"/>
  <c r="F131" i="9"/>
  <c r="G131" i="9" s="1"/>
  <c r="H131" i="9" s="1"/>
  <c r="C132" i="14" s="1"/>
  <c r="D131" i="9"/>
  <c r="Z130" i="9"/>
  <c r="AA130" i="9" s="1"/>
  <c r="AB130" i="9" s="1"/>
  <c r="W131" i="14" s="1"/>
  <c r="V130" i="9"/>
  <c r="W130" i="9" s="1"/>
  <c r="X130" i="9" s="1"/>
  <c r="S131" i="14" s="1"/>
  <c r="R130" i="9"/>
  <c r="S130" i="9" s="1"/>
  <c r="T130" i="9" s="1"/>
  <c r="O131" i="14" s="1"/>
  <c r="N130" i="9"/>
  <c r="J131" i="14" s="1"/>
  <c r="F130" i="9"/>
  <c r="G130" i="9" s="1"/>
  <c r="H130" i="9" s="1"/>
  <c r="C131" i="14" s="1"/>
  <c r="D130" i="9"/>
  <c r="Z129" i="9"/>
  <c r="AA129" i="9" s="1"/>
  <c r="AB129" i="9" s="1"/>
  <c r="W130" i="14" s="1"/>
  <c r="V129" i="9"/>
  <c r="R130" i="14" s="1"/>
  <c r="R129" i="9"/>
  <c r="S129" i="9" s="1"/>
  <c r="T129" i="9" s="1"/>
  <c r="O130" i="14" s="1"/>
  <c r="N129" i="9"/>
  <c r="J130" i="14" s="1"/>
  <c r="F129" i="9"/>
  <c r="G129" i="9" s="1"/>
  <c r="H129" i="9" s="1"/>
  <c r="C130" i="14" s="1"/>
  <c r="D129" i="9"/>
  <c r="Z128" i="9"/>
  <c r="AA128" i="9" s="1"/>
  <c r="AB128" i="9" s="1"/>
  <c r="W129" i="14" s="1"/>
  <c r="V128" i="9"/>
  <c r="W128" i="9" s="1"/>
  <c r="X128" i="9" s="1"/>
  <c r="S129" i="14" s="1"/>
  <c r="R128" i="9"/>
  <c r="S128" i="9" s="1"/>
  <c r="T128" i="9" s="1"/>
  <c r="O129" i="14" s="1"/>
  <c r="N128" i="9"/>
  <c r="O128" i="9" s="1"/>
  <c r="P128" i="9" s="1"/>
  <c r="K129" i="14" s="1"/>
  <c r="F128" i="9"/>
  <c r="G128" i="9" s="1"/>
  <c r="H128" i="9" s="1"/>
  <c r="C129" i="14" s="1"/>
  <c r="D128" i="9"/>
  <c r="Z127" i="9"/>
  <c r="AA127" i="9" s="1"/>
  <c r="AB127" i="9" s="1"/>
  <c r="W128" i="14" s="1"/>
  <c r="V127" i="9"/>
  <c r="W127" i="9" s="1"/>
  <c r="X127" i="9" s="1"/>
  <c r="S128" i="14" s="1"/>
  <c r="R127" i="9"/>
  <c r="S127" i="9" s="1"/>
  <c r="T127" i="9" s="1"/>
  <c r="O128" i="14" s="1"/>
  <c r="N127" i="9"/>
  <c r="O127" i="9" s="1"/>
  <c r="P127" i="9" s="1"/>
  <c r="K128" i="14" s="1"/>
  <c r="F127" i="9"/>
  <c r="G127" i="9" s="1"/>
  <c r="H127" i="9" s="1"/>
  <c r="C128" i="14" s="1"/>
  <c r="D127" i="9"/>
  <c r="Z126" i="9"/>
  <c r="AA126" i="9" s="1"/>
  <c r="AB126" i="9" s="1"/>
  <c r="W127" i="14" s="1"/>
  <c r="V126" i="9"/>
  <c r="W126" i="9" s="1"/>
  <c r="X126" i="9" s="1"/>
  <c r="S127" i="14" s="1"/>
  <c r="R126" i="9"/>
  <c r="S126" i="9" s="1"/>
  <c r="T126" i="9" s="1"/>
  <c r="O127" i="14" s="1"/>
  <c r="N126" i="9"/>
  <c r="O126" i="9" s="1"/>
  <c r="P126" i="9" s="1"/>
  <c r="K127" i="14" s="1"/>
  <c r="F126" i="9"/>
  <c r="G126" i="9" s="1"/>
  <c r="H126" i="9" s="1"/>
  <c r="C127" i="14" s="1"/>
  <c r="D126" i="9"/>
  <c r="Z125" i="9"/>
  <c r="AA125" i="9" s="1"/>
  <c r="AB125" i="9" s="1"/>
  <c r="W126" i="14" s="1"/>
  <c r="V125" i="9"/>
  <c r="R126" i="14" s="1"/>
  <c r="R125" i="9"/>
  <c r="S125" i="9" s="1"/>
  <c r="T125" i="9" s="1"/>
  <c r="O126" i="14" s="1"/>
  <c r="N125" i="9"/>
  <c r="O125" i="9" s="1"/>
  <c r="P125" i="9" s="1"/>
  <c r="K126" i="14" s="1"/>
  <c r="F125" i="9"/>
  <c r="G125" i="9" s="1"/>
  <c r="H125" i="9" s="1"/>
  <c r="C126" i="14" s="1"/>
  <c r="D125" i="9"/>
  <c r="Z124" i="9"/>
  <c r="AA124" i="9" s="1"/>
  <c r="AB124" i="9" s="1"/>
  <c r="W125" i="14" s="1"/>
  <c r="V124" i="9"/>
  <c r="W124" i="9" s="1"/>
  <c r="X124" i="9" s="1"/>
  <c r="S125" i="14" s="1"/>
  <c r="R124" i="9"/>
  <c r="S124" i="9" s="1"/>
  <c r="T124" i="9" s="1"/>
  <c r="O125" i="14" s="1"/>
  <c r="N124" i="9"/>
  <c r="O124" i="9" s="1"/>
  <c r="P124" i="9" s="1"/>
  <c r="K125" i="14" s="1"/>
  <c r="F124" i="9"/>
  <c r="B125" i="14" s="1"/>
  <c r="D124" i="9"/>
  <c r="Z123" i="9"/>
  <c r="AA123" i="9" s="1"/>
  <c r="AB123" i="9" s="1"/>
  <c r="W124" i="14" s="1"/>
  <c r="V123" i="9"/>
  <c r="W123" i="9" s="1"/>
  <c r="X123" i="9" s="1"/>
  <c r="S124" i="14" s="1"/>
  <c r="R123" i="9"/>
  <c r="S123" i="9" s="1"/>
  <c r="T123" i="9" s="1"/>
  <c r="O124" i="14" s="1"/>
  <c r="N123" i="9"/>
  <c r="O123" i="9" s="1"/>
  <c r="P123" i="9" s="1"/>
  <c r="K124" i="14" s="1"/>
  <c r="F123" i="9"/>
  <c r="G123" i="9" s="1"/>
  <c r="H123" i="9" s="1"/>
  <c r="C124" i="14" s="1"/>
  <c r="D123" i="9"/>
  <c r="Z122" i="9"/>
  <c r="AA122" i="9" s="1"/>
  <c r="AB122" i="9" s="1"/>
  <c r="W123" i="14" s="1"/>
  <c r="V122" i="9"/>
  <c r="W122" i="9" s="1"/>
  <c r="X122" i="9" s="1"/>
  <c r="S123" i="14" s="1"/>
  <c r="R122" i="9"/>
  <c r="S122" i="9" s="1"/>
  <c r="T122" i="9" s="1"/>
  <c r="O123" i="14" s="1"/>
  <c r="N122" i="9"/>
  <c r="O122" i="9" s="1"/>
  <c r="P122" i="9" s="1"/>
  <c r="K123" i="14" s="1"/>
  <c r="F122" i="9"/>
  <c r="G122" i="9" s="1"/>
  <c r="H122" i="9" s="1"/>
  <c r="C123" i="14" s="1"/>
  <c r="D122" i="9"/>
  <c r="Z121" i="9"/>
  <c r="AA121" i="9" s="1"/>
  <c r="AB121" i="9" s="1"/>
  <c r="W122" i="14" s="1"/>
  <c r="V121" i="9"/>
  <c r="W121" i="9" s="1"/>
  <c r="X121" i="9" s="1"/>
  <c r="S122" i="14" s="1"/>
  <c r="R121" i="9"/>
  <c r="S121" i="9" s="1"/>
  <c r="T121" i="9" s="1"/>
  <c r="O122" i="14" s="1"/>
  <c r="N121" i="9"/>
  <c r="O121" i="9" s="1"/>
  <c r="P121" i="9" s="1"/>
  <c r="K122" i="14" s="1"/>
  <c r="F121" i="9"/>
  <c r="G121" i="9" s="1"/>
  <c r="H121" i="9" s="1"/>
  <c r="C122" i="14" s="1"/>
  <c r="D121" i="9"/>
  <c r="Z120" i="9"/>
  <c r="AA120" i="9" s="1"/>
  <c r="AB120" i="9" s="1"/>
  <c r="W121" i="14" s="1"/>
  <c r="V120" i="9"/>
  <c r="W120" i="9" s="1"/>
  <c r="X120" i="9" s="1"/>
  <c r="S121" i="14" s="1"/>
  <c r="R120" i="9"/>
  <c r="S120" i="9" s="1"/>
  <c r="T120" i="9" s="1"/>
  <c r="O121" i="14" s="1"/>
  <c r="N120" i="9"/>
  <c r="O120" i="9" s="1"/>
  <c r="P120" i="9" s="1"/>
  <c r="K121" i="14" s="1"/>
  <c r="F120" i="9"/>
  <c r="G120" i="9" s="1"/>
  <c r="H120" i="9" s="1"/>
  <c r="C121" i="14" s="1"/>
  <c r="D120" i="9"/>
  <c r="Z119" i="9"/>
  <c r="AA119" i="9" s="1"/>
  <c r="AB119" i="9" s="1"/>
  <c r="W120" i="14" s="1"/>
  <c r="V119" i="9"/>
  <c r="W119" i="9" s="1"/>
  <c r="X119" i="9" s="1"/>
  <c r="S120" i="14" s="1"/>
  <c r="R119" i="9"/>
  <c r="S119" i="9" s="1"/>
  <c r="T119" i="9" s="1"/>
  <c r="O120" i="14" s="1"/>
  <c r="N119" i="9"/>
  <c r="O119" i="9" s="1"/>
  <c r="P119" i="9" s="1"/>
  <c r="K120" i="14" s="1"/>
  <c r="F119" i="9"/>
  <c r="G119" i="9" s="1"/>
  <c r="H119" i="9" s="1"/>
  <c r="C120" i="14" s="1"/>
  <c r="D119" i="9"/>
  <c r="Z118" i="9"/>
  <c r="AA118" i="9" s="1"/>
  <c r="AB118" i="9" s="1"/>
  <c r="W119" i="14" s="1"/>
  <c r="V118" i="9"/>
  <c r="W118" i="9" s="1"/>
  <c r="X118" i="9" s="1"/>
  <c r="S119" i="14" s="1"/>
  <c r="R118" i="9"/>
  <c r="S118" i="9" s="1"/>
  <c r="T118" i="9" s="1"/>
  <c r="O119" i="14" s="1"/>
  <c r="N118" i="9"/>
  <c r="O118" i="9" s="1"/>
  <c r="P118" i="9" s="1"/>
  <c r="K119" i="14" s="1"/>
  <c r="F118" i="9"/>
  <c r="G118" i="9" s="1"/>
  <c r="H118" i="9" s="1"/>
  <c r="C119" i="14" s="1"/>
  <c r="D118" i="9"/>
  <c r="Z117" i="9"/>
  <c r="AA117" i="9" s="1"/>
  <c r="AB117" i="9" s="1"/>
  <c r="W118" i="14" s="1"/>
  <c r="V117" i="9"/>
  <c r="W117" i="9" s="1"/>
  <c r="X117" i="9" s="1"/>
  <c r="S118" i="14" s="1"/>
  <c r="R117" i="9"/>
  <c r="S117" i="9" s="1"/>
  <c r="T117" i="9" s="1"/>
  <c r="O118" i="14" s="1"/>
  <c r="N117" i="9"/>
  <c r="O117" i="9" s="1"/>
  <c r="P117" i="9" s="1"/>
  <c r="K118" i="14" s="1"/>
  <c r="F117" i="9"/>
  <c r="G117" i="9" s="1"/>
  <c r="H117" i="9" s="1"/>
  <c r="C118" i="14" s="1"/>
  <c r="D117" i="9"/>
  <c r="Z116" i="9"/>
  <c r="AA116" i="9" s="1"/>
  <c r="AB116" i="9" s="1"/>
  <c r="W117" i="14" s="1"/>
  <c r="V116" i="9"/>
  <c r="W116" i="9" s="1"/>
  <c r="X116" i="9" s="1"/>
  <c r="S117" i="14" s="1"/>
  <c r="R116" i="9"/>
  <c r="S116" i="9" s="1"/>
  <c r="T116" i="9" s="1"/>
  <c r="O117" i="14" s="1"/>
  <c r="N116" i="9"/>
  <c r="J117" i="14" s="1"/>
  <c r="F116" i="9"/>
  <c r="G116" i="9" s="1"/>
  <c r="H116" i="9" s="1"/>
  <c r="C117" i="14" s="1"/>
  <c r="D116" i="9"/>
  <c r="Z115" i="9"/>
  <c r="AA115" i="9" s="1"/>
  <c r="AB115" i="9" s="1"/>
  <c r="W116" i="14" s="1"/>
  <c r="V115" i="9"/>
  <c r="W115" i="9" s="1"/>
  <c r="X115" i="9" s="1"/>
  <c r="S116" i="14" s="1"/>
  <c r="R115" i="9"/>
  <c r="S115" i="9" s="1"/>
  <c r="T115" i="9" s="1"/>
  <c r="O116" i="14" s="1"/>
  <c r="N115" i="9"/>
  <c r="O115" i="9" s="1"/>
  <c r="P115" i="9" s="1"/>
  <c r="K116" i="14" s="1"/>
  <c r="F115" i="9"/>
  <c r="G115" i="9" s="1"/>
  <c r="H115" i="9" s="1"/>
  <c r="C116" i="14" s="1"/>
  <c r="D115" i="9"/>
  <c r="Z114" i="9"/>
  <c r="AA114" i="9" s="1"/>
  <c r="AB114" i="9" s="1"/>
  <c r="W115" i="14" s="1"/>
  <c r="V114" i="9"/>
  <c r="W114" i="9" s="1"/>
  <c r="X114" i="9" s="1"/>
  <c r="S115" i="14" s="1"/>
  <c r="R114" i="9"/>
  <c r="S114" i="9" s="1"/>
  <c r="T114" i="9" s="1"/>
  <c r="O115" i="14" s="1"/>
  <c r="N114" i="9"/>
  <c r="O114" i="9" s="1"/>
  <c r="P114" i="9" s="1"/>
  <c r="K115" i="14" s="1"/>
  <c r="F114" i="9"/>
  <c r="G114" i="9" s="1"/>
  <c r="H114" i="9" s="1"/>
  <c r="C115" i="14" s="1"/>
  <c r="D114" i="9"/>
  <c r="Z113" i="9"/>
  <c r="V114" i="14" s="1"/>
  <c r="V113" i="9"/>
  <c r="W113" i="9" s="1"/>
  <c r="X113" i="9" s="1"/>
  <c r="S114" i="14" s="1"/>
  <c r="R113" i="9"/>
  <c r="N113" i="9"/>
  <c r="O113" i="9" s="1"/>
  <c r="P113" i="9" s="1"/>
  <c r="K114" i="14" s="1"/>
  <c r="F113" i="9"/>
  <c r="G113" i="9" s="1"/>
  <c r="H113" i="9" s="1"/>
  <c r="C114" i="14" s="1"/>
  <c r="D113" i="9"/>
  <c r="Z112" i="9"/>
  <c r="AA112" i="9" s="1"/>
  <c r="AB112" i="9" s="1"/>
  <c r="W113" i="14" s="1"/>
  <c r="V112" i="9"/>
  <c r="W112" i="9" s="1"/>
  <c r="X112" i="9" s="1"/>
  <c r="S113" i="14" s="1"/>
  <c r="R112" i="9"/>
  <c r="S112" i="9" s="1"/>
  <c r="T112" i="9" s="1"/>
  <c r="O113" i="14" s="1"/>
  <c r="N112" i="9"/>
  <c r="O112" i="9" s="1"/>
  <c r="P112" i="9" s="1"/>
  <c r="K113" i="14" s="1"/>
  <c r="F112" i="9"/>
  <c r="B113" i="14" s="1"/>
  <c r="D112" i="9"/>
  <c r="Z111" i="9"/>
  <c r="AA111" i="9" s="1"/>
  <c r="AB111" i="9" s="1"/>
  <c r="W112" i="14" s="1"/>
  <c r="V111" i="9"/>
  <c r="R112" i="14" s="1"/>
  <c r="R111" i="9"/>
  <c r="S111" i="9" s="1"/>
  <c r="T111" i="9" s="1"/>
  <c r="O112" i="14" s="1"/>
  <c r="N111" i="9"/>
  <c r="O111" i="9" s="1"/>
  <c r="P111" i="9" s="1"/>
  <c r="K112" i="14" s="1"/>
  <c r="F111" i="9"/>
  <c r="G111" i="9" s="1"/>
  <c r="H111" i="9" s="1"/>
  <c r="C112" i="14" s="1"/>
  <c r="D111" i="9"/>
  <c r="Z110" i="9"/>
  <c r="AA110" i="9" s="1"/>
  <c r="AB110" i="9" s="1"/>
  <c r="W111" i="14" s="1"/>
  <c r="V110" i="9"/>
  <c r="W110" i="9" s="1"/>
  <c r="X110" i="9" s="1"/>
  <c r="S111" i="14" s="1"/>
  <c r="R110" i="9"/>
  <c r="S110" i="9" s="1"/>
  <c r="T110" i="9" s="1"/>
  <c r="O111" i="14" s="1"/>
  <c r="N110" i="9"/>
  <c r="O110" i="9" s="1"/>
  <c r="P110" i="9" s="1"/>
  <c r="K111" i="14" s="1"/>
  <c r="F110" i="9"/>
  <c r="G110" i="9" s="1"/>
  <c r="H110" i="9" s="1"/>
  <c r="C111" i="14" s="1"/>
  <c r="D110" i="9"/>
  <c r="Z109" i="9"/>
  <c r="AA109" i="9" s="1"/>
  <c r="AB109" i="9" s="1"/>
  <c r="W110" i="14" s="1"/>
  <c r="V109" i="9"/>
  <c r="W109" i="9" s="1"/>
  <c r="X109" i="9" s="1"/>
  <c r="S110" i="14" s="1"/>
  <c r="R109" i="9"/>
  <c r="S109" i="9" s="1"/>
  <c r="T109" i="9" s="1"/>
  <c r="O110" i="14" s="1"/>
  <c r="N109" i="9"/>
  <c r="O109" i="9" s="1"/>
  <c r="P109" i="9" s="1"/>
  <c r="K110" i="14" s="1"/>
  <c r="F109" i="9"/>
  <c r="G109" i="9" s="1"/>
  <c r="H109" i="9" s="1"/>
  <c r="C110" i="14" s="1"/>
  <c r="D109" i="9"/>
  <c r="Z108" i="9"/>
  <c r="AA108" i="9" s="1"/>
  <c r="AB108" i="9" s="1"/>
  <c r="W109" i="14" s="1"/>
  <c r="V108" i="9"/>
  <c r="W108" i="9" s="1"/>
  <c r="X108" i="9" s="1"/>
  <c r="S109" i="14" s="1"/>
  <c r="R108" i="9"/>
  <c r="S108" i="9" s="1"/>
  <c r="T108" i="9" s="1"/>
  <c r="O109" i="14" s="1"/>
  <c r="N108" i="9"/>
  <c r="O108" i="9" s="1"/>
  <c r="P108" i="9" s="1"/>
  <c r="K109" i="14" s="1"/>
  <c r="F108" i="9"/>
  <c r="G108" i="9" s="1"/>
  <c r="H108" i="9" s="1"/>
  <c r="C109" i="14" s="1"/>
  <c r="D108" i="9"/>
  <c r="Z107" i="9"/>
  <c r="V108" i="14" s="1"/>
  <c r="V107" i="9"/>
  <c r="W107" i="9" s="1"/>
  <c r="X107" i="9" s="1"/>
  <c r="S108" i="14" s="1"/>
  <c r="R107" i="9"/>
  <c r="S107" i="9" s="1"/>
  <c r="T107" i="9" s="1"/>
  <c r="O108" i="14" s="1"/>
  <c r="N107" i="9"/>
  <c r="O107" i="9" s="1"/>
  <c r="P107" i="9" s="1"/>
  <c r="K108" i="14" s="1"/>
  <c r="F107" i="9"/>
  <c r="G107" i="9" s="1"/>
  <c r="H107" i="9" s="1"/>
  <c r="C108" i="14" s="1"/>
  <c r="D107" i="9"/>
  <c r="Z106" i="9"/>
  <c r="V107" i="14" s="1"/>
  <c r="V106" i="9"/>
  <c r="W106" i="9" s="1"/>
  <c r="X106" i="9" s="1"/>
  <c r="S107" i="14" s="1"/>
  <c r="R106" i="9"/>
  <c r="S106" i="9" s="1"/>
  <c r="T106" i="9" s="1"/>
  <c r="O107" i="14" s="1"/>
  <c r="N106" i="9"/>
  <c r="O106" i="9" s="1"/>
  <c r="P106" i="9" s="1"/>
  <c r="K107" i="14" s="1"/>
  <c r="F106" i="9"/>
  <c r="G106" i="9" s="1"/>
  <c r="H106" i="9" s="1"/>
  <c r="C107" i="14" s="1"/>
  <c r="D106" i="9"/>
  <c r="Z105" i="9"/>
  <c r="AA105" i="9" s="1"/>
  <c r="AB105" i="9" s="1"/>
  <c r="W106" i="14" s="1"/>
  <c r="V105" i="9"/>
  <c r="W105" i="9" s="1"/>
  <c r="X105" i="9" s="1"/>
  <c r="S106" i="14" s="1"/>
  <c r="R105" i="9"/>
  <c r="S105" i="9" s="1"/>
  <c r="T105" i="9" s="1"/>
  <c r="O106" i="14" s="1"/>
  <c r="N105" i="9"/>
  <c r="O105" i="9" s="1"/>
  <c r="P105" i="9" s="1"/>
  <c r="K106" i="14" s="1"/>
  <c r="F105" i="9"/>
  <c r="G105" i="9" s="1"/>
  <c r="H105" i="9" s="1"/>
  <c r="C106" i="14" s="1"/>
  <c r="D105" i="9"/>
  <c r="Z104" i="9"/>
  <c r="AA104" i="9" s="1"/>
  <c r="AB104" i="9" s="1"/>
  <c r="W105" i="14" s="1"/>
  <c r="V104" i="9"/>
  <c r="W104" i="9" s="1"/>
  <c r="X104" i="9" s="1"/>
  <c r="S105" i="14" s="1"/>
  <c r="R104" i="9"/>
  <c r="S104" i="9" s="1"/>
  <c r="T104" i="9" s="1"/>
  <c r="O105" i="14" s="1"/>
  <c r="N104" i="9"/>
  <c r="O104" i="9" s="1"/>
  <c r="P104" i="9" s="1"/>
  <c r="K105" i="14" s="1"/>
  <c r="F104" i="9"/>
  <c r="G104" i="9" s="1"/>
  <c r="H104" i="9" s="1"/>
  <c r="C105" i="14" s="1"/>
  <c r="D104" i="9"/>
  <c r="Z103" i="9"/>
  <c r="AA103" i="9" s="1"/>
  <c r="AB103" i="9" s="1"/>
  <c r="W104" i="14" s="1"/>
  <c r="V103" i="9"/>
  <c r="R104" i="14" s="1"/>
  <c r="R103" i="9"/>
  <c r="S103" i="9" s="1"/>
  <c r="T103" i="9" s="1"/>
  <c r="O104" i="14" s="1"/>
  <c r="N103" i="9"/>
  <c r="O103" i="9" s="1"/>
  <c r="P103" i="9" s="1"/>
  <c r="K104" i="14" s="1"/>
  <c r="F103" i="9"/>
  <c r="G103" i="9" s="1"/>
  <c r="H103" i="9" s="1"/>
  <c r="C104" i="14" s="1"/>
  <c r="D103" i="9"/>
  <c r="Z102" i="9"/>
  <c r="AA102" i="9" s="1"/>
  <c r="AB102" i="9" s="1"/>
  <c r="W103" i="14" s="1"/>
  <c r="V102" i="9"/>
  <c r="R103" i="14" s="1"/>
  <c r="R102" i="9"/>
  <c r="S102" i="9" s="1"/>
  <c r="T102" i="9" s="1"/>
  <c r="O103" i="14" s="1"/>
  <c r="N102" i="9"/>
  <c r="O102" i="9" s="1"/>
  <c r="P102" i="9" s="1"/>
  <c r="K103" i="14" s="1"/>
  <c r="F102" i="9"/>
  <c r="G102" i="9" s="1"/>
  <c r="H102" i="9" s="1"/>
  <c r="C103" i="14" s="1"/>
  <c r="D102" i="9"/>
  <c r="Z101" i="9"/>
  <c r="V102" i="14" s="1"/>
  <c r="V101" i="9"/>
  <c r="W101" i="9" s="1"/>
  <c r="X101" i="9" s="1"/>
  <c r="S102" i="14" s="1"/>
  <c r="R101" i="9"/>
  <c r="N102" i="14" s="1"/>
  <c r="N101" i="9"/>
  <c r="J102" i="14" s="1"/>
  <c r="F101" i="9"/>
  <c r="G101" i="9" s="1"/>
  <c r="H101" i="9" s="1"/>
  <c r="C102" i="14" s="1"/>
  <c r="D101" i="9"/>
  <c r="Z100" i="9"/>
  <c r="AA100" i="9" s="1"/>
  <c r="AB100" i="9" s="1"/>
  <c r="W101" i="14" s="1"/>
  <c r="V100" i="9"/>
  <c r="W100" i="9" s="1"/>
  <c r="X100" i="9" s="1"/>
  <c r="S101" i="14" s="1"/>
  <c r="R100" i="9"/>
  <c r="S100" i="9" s="1"/>
  <c r="T100" i="9" s="1"/>
  <c r="O101" i="14" s="1"/>
  <c r="N100" i="9"/>
  <c r="O100" i="9" s="1"/>
  <c r="P100" i="9" s="1"/>
  <c r="K101" i="14" s="1"/>
  <c r="F100" i="9"/>
  <c r="G100" i="9" s="1"/>
  <c r="H100" i="9" s="1"/>
  <c r="C101" i="14" s="1"/>
  <c r="D100" i="9"/>
  <c r="Z99" i="9"/>
  <c r="AA99" i="9" s="1"/>
  <c r="AB99" i="9" s="1"/>
  <c r="W100" i="14" s="1"/>
  <c r="V99" i="9"/>
  <c r="R100" i="14" s="1"/>
  <c r="R99" i="9"/>
  <c r="N100" i="14" s="1"/>
  <c r="N99" i="9"/>
  <c r="O99" i="9" s="1"/>
  <c r="P99" i="9" s="1"/>
  <c r="K100" i="14" s="1"/>
  <c r="F99" i="9"/>
  <c r="G99" i="9" s="1"/>
  <c r="H99" i="9" s="1"/>
  <c r="C100" i="14" s="1"/>
  <c r="D99" i="9"/>
  <c r="Z98" i="9"/>
  <c r="AA98" i="9" s="1"/>
  <c r="AB98" i="9" s="1"/>
  <c r="W99" i="14" s="1"/>
  <c r="V98" i="9"/>
  <c r="W98" i="9" s="1"/>
  <c r="X98" i="9" s="1"/>
  <c r="S99" i="14" s="1"/>
  <c r="R98" i="9"/>
  <c r="S98" i="9" s="1"/>
  <c r="T98" i="9" s="1"/>
  <c r="O99" i="14" s="1"/>
  <c r="N98" i="9"/>
  <c r="O98" i="9" s="1"/>
  <c r="P98" i="9" s="1"/>
  <c r="K99" i="14" s="1"/>
  <c r="F98" i="9"/>
  <c r="G98" i="9" s="1"/>
  <c r="H98" i="9" s="1"/>
  <c r="C99" i="14" s="1"/>
  <c r="D98" i="9"/>
  <c r="Z97" i="9"/>
  <c r="AA97" i="9" s="1"/>
  <c r="AB97" i="9" s="1"/>
  <c r="W98" i="14" s="1"/>
  <c r="V97" i="9"/>
  <c r="W97" i="9" s="1"/>
  <c r="X97" i="9" s="1"/>
  <c r="S98" i="14" s="1"/>
  <c r="R97" i="9"/>
  <c r="S97" i="9" s="1"/>
  <c r="T97" i="9" s="1"/>
  <c r="O98" i="14" s="1"/>
  <c r="N97" i="9"/>
  <c r="O97" i="9" s="1"/>
  <c r="P97" i="9" s="1"/>
  <c r="K98" i="14" s="1"/>
  <c r="F97" i="9"/>
  <c r="G97" i="9" s="1"/>
  <c r="H97" i="9" s="1"/>
  <c r="C98" i="14" s="1"/>
  <c r="D97" i="9"/>
  <c r="Z96" i="9"/>
  <c r="AA96" i="9" s="1"/>
  <c r="AB96" i="9" s="1"/>
  <c r="W97" i="14" s="1"/>
  <c r="V96" i="9"/>
  <c r="W96" i="9" s="1"/>
  <c r="X96" i="9" s="1"/>
  <c r="S97" i="14" s="1"/>
  <c r="R96" i="9"/>
  <c r="S96" i="9" s="1"/>
  <c r="T96" i="9" s="1"/>
  <c r="O97" i="14" s="1"/>
  <c r="N96" i="9"/>
  <c r="O96" i="9" s="1"/>
  <c r="P96" i="9" s="1"/>
  <c r="K97" i="14" s="1"/>
  <c r="F96" i="9"/>
  <c r="G96" i="9" s="1"/>
  <c r="H96" i="9" s="1"/>
  <c r="C97" i="14" s="1"/>
  <c r="D96" i="9"/>
  <c r="Z95" i="9"/>
  <c r="V96" i="14" s="1"/>
  <c r="V95" i="9"/>
  <c r="W95" i="9" s="1"/>
  <c r="X95" i="9" s="1"/>
  <c r="S96" i="14" s="1"/>
  <c r="R95" i="9"/>
  <c r="S95" i="9" s="1"/>
  <c r="T95" i="9" s="1"/>
  <c r="O96" i="14" s="1"/>
  <c r="N95" i="9"/>
  <c r="O95" i="9" s="1"/>
  <c r="P95" i="9" s="1"/>
  <c r="K96" i="14" s="1"/>
  <c r="F95" i="9"/>
  <c r="G95" i="9" s="1"/>
  <c r="H95" i="9" s="1"/>
  <c r="C96" i="14" s="1"/>
  <c r="D95" i="9"/>
  <c r="Z94" i="9"/>
  <c r="V95" i="14" s="1"/>
  <c r="V94" i="9"/>
  <c r="R95" i="14" s="1"/>
  <c r="R94" i="9"/>
  <c r="N95" i="14" s="1"/>
  <c r="N94" i="9"/>
  <c r="O94" i="9" s="1"/>
  <c r="P94" i="9" s="1"/>
  <c r="K95" i="14" s="1"/>
  <c r="F94" i="9"/>
  <c r="B95" i="14" s="1"/>
  <c r="D94" i="9"/>
  <c r="Z93" i="9"/>
  <c r="V94" i="14" s="1"/>
  <c r="V93" i="9"/>
  <c r="W93" i="9" s="1"/>
  <c r="X93" i="9" s="1"/>
  <c r="S94" i="14" s="1"/>
  <c r="R93" i="9"/>
  <c r="S93" i="9" s="1"/>
  <c r="T93" i="9" s="1"/>
  <c r="O94" i="14" s="1"/>
  <c r="N93" i="9"/>
  <c r="O93" i="9" s="1"/>
  <c r="P93" i="9" s="1"/>
  <c r="K94" i="14" s="1"/>
  <c r="F93" i="9"/>
  <c r="G93" i="9" s="1"/>
  <c r="H93" i="9" s="1"/>
  <c r="C94" i="14" s="1"/>
  <c r="D93" i="9"/>
  <c r="Z92" i="9"/>
  <c r="AA92" i="9" s="1"/>
  <c r="AB92" i="9" s="1"/>
  <c r="W93" i="14" s="1"/>
  <c r="V92" i="9"/>
  <c r="W92" i="9" s="1"/>
  <c r="X92" i="9" s="1"/>
  <c r="S93" i="14" s="1"/>
  <c r="R92" i="9"/>
  <c r="S92" i="9" s="1"/>
  <c r="T92" i="9" s="1"/>
  <c r="O93" i="14" s="1"/>
  <c r="N92" i="9"/>
  <c r="O92" i="9" s="1"/>
  <c r="P92" i="9" s="1"/>
  <c r="K93" i="14" s="1"/>
  <c r="F92" i="9"/>
  <c r="G92" i="9" s="1"/>
  <c r="H92" i="9" s="1"/>
  <c r="C93" i="14" s="1"/>
  <c r="D92" i="9"/>
  <c r="Z91" i="9"/>
  <c r="AA91" i="9" s="1"/>
  <c r="AB91" i="9" s="1"/>
  <c r="W92" i="14" s="1"/>
  <c r="V91" i="9"/>
  <c r="W91" i="9" s="1"/>
  <c r="X91" i="9" s="1"/>
  <c r="S92" i="14" s="1"/>
  <c r="R91" i="9"/>
  <c r="S91" i="9" s="1"/>
  <c r="T91" i="9" s="1"/>
  <c r="O92" i="14" s="1"/>
  <c r="N91" i="9"/>
  <c r="O91" i="9" s="1"/>
  <c r="P91" i="9" s="1"/>
  <c r="K92" i="14" s="1"/>
  <c r="F91" i="9"/>
  <c r="G91" i="9" s="1"/>
  <c r="H91" i="9" s="1"/>
  <c r="C92" i="14" s="1"/>
  <c r="D91" i="9"/>
  <c r="Z90" i="9"/>
  <c r="AA90" i="9" s="1"/>
  <c r="AB90" i="9" s="1"/>
  <c r="W91" i="14" s="1"/>
  <c r="V90" i="9"/>
  <c r="W90" i="9" s="1"/>
  <c r="X90" i="9" s="1"/>
  <c r="S91" i="14" s="1"/>
  <c r="R90" i="9"/>
  <c r="S90" i="9" s="1"/>
  <c r="T90" i="9" s="1"/>
  <c r="O91" i="14" s="1"/>
  <c r="N90" i="9"/>
  <c r="O90" i="9" s="1"/>
  <c r="P90" i="9" s="1"/>
  <c r="K91" i="14" s="1"/>
  <c r="F90" i="9"/>
  <c r="G90" i="9" s="1"/>
  <c r="H90" i="9" s="1"/>
  <c r="C91" i="14" s="1"/>
  <c r="D90" i="9"/>
  <c r="Z89" i="9"/>
  <c r="AA89" i="9" s="1"/>
  <c r="AB89" i="9" s="1"/>
  <c r="W90" i="14" s="1"/>
  <c r="V89" i="9"/>
  <c r="W89" i="9" s="1"/>
  <c r="X89" i="9" s="1"/>
  <c r="S90" i="14" s="1"/>
  <c r="R89" i="9"/>
  <c r="N89" i="9"/>
  <c r="O89" i="9" s="1"/>
  <c r="P89" i="9" s="1"/>
  <c r="K90" i="14" s="1"/>
  <c r="F89" i="9"/>
  <c r="G89" i="9" s="1"/>
  <c r="H89" i="9" s="1"/>
  <c r="C90" i="14" s="1"/>
  <c r="D89" i="9"/>
  <c r="Z88" i="9"/>
  <c r="AA88" i="9" s="1"/>
  <c r="AB88" i="9" s="1"/>
  <c r="W89" i="14" s="1"/>
  <c r="V88" i="9"/>
  <c r="R89" i="14" s="1"/>
  <c r="R88" i="9"/>
  <c r="S88" i="9" s="1"/>
  <c r="T88" i="9" s="1"/>
  <c r="O89" i="14" s="1"/>
  <c r="N88" i="9"/>
  <c r="O88" i="9" s="1"/>
  <c r="P88" i="9" s="1"/>
  <c r="K89" i="14" s="1"/>
  <c r="F88" i="9"/>
  <c r="G88" i="9" s="1"/>
  <c r="H88" i="9" s="1"/>
  <c r="C89" i="14" s="1"/>
  <c r="D88" i="9"/>
  <c r="Z87" i="9"/>
  <c r="AA87" i="9" s="1"/>
  <c r="AB87" i="9" s="1"/>
  <c r="W88" i="14" s="1"/>
  <c r="V87" i="9"/>
  <c r="W87" i="9" s="1"/>
  <c r="X87" i="9" s="1"/>
  <c r="S88" i="14" s="1"/>
  <c r="R87" i="9"/>
  <c r="S87" i="9" s="1"/>
  <c r="T87" i="9" s="1"/>
  <c r="O88" i="14" s="1"/>
  <c r="N87" i="9"/>
  <c r="O87" i="9" s="1"/>
  <c r="P87" i="9" s="1"/>
  <c r="K88" i="14" s="1"/>
  <c r="F87" i="9"/>
  <c r="G87" i="9" s="1"/>
  <c r="H87" i="9" s="1"/>
  <c r="C88" i="14" s="1"/>
  <c r="D87" i="9"/>
  <c r="Z86" i="9"/>
  <c r="AA86" i="9" s="1"/>
  <c r="AB86" i="9" s="1"/>
  <c r="W87" i="14" s="1"/>
  <c r="V86" i="9"/>
  <c r="W86" i="9" s="1"/>
  <c r="X86" i="9" s="1"/>
  <c r="S87" i="14" s="1"/>
  <c r="R86" i="9"/>
  <c r="S86" i="9" s="1"/>
  <c r="T86" i="9" s="1"/>
  <c r="O87" i="14" s="1"/>
  <c r="N86" i="9"/>
  <c r="O86" i="9" s="1"/>
  <c r="P86" i="9" s="1"/>
  <c r="K87" i="14" s="1"/>
  <c r="F86" i="9"/>
  <c r="G86" i="9" s="1"/>
  <c r="H86" i="9" s="1"/>
  <c r="C87" i="14" s="1"/>
  <c r="D86" i="9"/>
  <c r="Z85" i="9"/>
  <c r="AA85" i="9" s="1"/>
  <c r="AB85" i="9" s="1"/>
  <c r="W86" i="14" s="1"/>
  <c r="V85" i="9"/>
  <c r="W85" i="9" s="1"/>
  <c r="X85" i="9" s="1"/>
  <c r="S86" i="14" s="1"/>
  <c r="R85" i="9"/>
  <c r="S85" i="9" s="1"/>
  <c r="T85" i="9" s="1"/>
  <c r="O86" i="14" s="1"/>
  <c r="N85" i="9"/>
  <c r="O85" i="9" s="1"/>
  <c r="P85" i="9" s="1"/>
  <c r="K86" i="14" s="1"/>
  <c r="F85" i="9"/>
  <c r="G85" i="9" s="1"/>
  <c r="H85" i="9" s="1"/>
  <c r="C86" i="14" s="1"/>
  <c r="D85" i="9"/>
  <c r="Z84" i="9"/>
  <c r="AA84" i="9" s="1"/>
  <c r="AB84" i="9" s="1"/>
  <c r="W85" i="14" s="1"/>
  <c r="V84" i="9"/>
  <c r="W84" i="9" s="1"/>
  <c r="X84" i="9" s="1"/>
  <c r="S85" i="14" s="1"/>
  <c r="R84" i="9"/>
  <c r="S84" i="9" s="1"/>
  <c r="T84" i="9" s="1"/>
  <c r="O85" i="14" s="1"/>
  <c r="N84" i="9"/>
  <c r="O84" i="9" s="1"/>
  <c r="P84" i="9" s="1"/>
  <c r="K85" i="14" s="1"/>
  <c r="F84" i="9"/>
  <c r="G84" i="9" s="1"/>
  <c r="H84" i="9" s="1"/>
  <c r="C85" i="14" s="1"/>
  <c r="D84" i="9"/>
  <c r="Z83" i="9"/>
  <c r="AA83" i="9" s="1"/>
  <c r="AB83" i="9" s="1"/>
  <c r="W84" i="14" s="1"/>
  <c r="V83" i="9"/>
  <c r="R84" i="14" s="1"/>
  <c r="R83" i="9"/>
  <c r="N84" i="14" s="1"/>
  <c r="N83" i="9"/>
  <c r="O83" i="9" s="1"/>
  <c r="P83" i="9" s="1"/>
  <c r="K84" i="14" s="1"/>
  <c r="F83" i="9"/>
  <c r="G83" i="9" s="1"/>
  <c r="H83" i="9" s="1"/>
  <c r="C84" i="14" s="1"/>
  <c r="D83" i="9"/>
  <c r="Z82" i="9"/>
  <c r="AA82" i="9" s="1"/>
  <c r="AB82" i="9" s="1"/>
  <c r="W83" i="14" s="1"/>
  <c r="V82" i="9"/>
  <c r="W82" i="9" s="1"/>
  <c r="X82" i="9" s="1"/>
  <c r="S83" i="14" s="1"/>
  <c r="R82" i="9"/>
  <c r="S82" i="9" s="1"/>
  <c r="T82" i="9" s="1"/>
  <c r="O83" i="14" s="1"/>
  <c r="N82" i="9"/>
  <c r="O82" i="9" s="1"/>
  <c r="P82" i="9" s="1"/>
  <c r="K83" i="14" s="1"/>
  <c r="F82" i="9"/>
  <c r="G82" i="9" s="1"/>
  <c r="H82" i="9" s="1"/>
  <c r="C83" i="14" s="1"/>
  <c r="D82" i="9"/>
  <c r="Z81" i="9"/>
  <c r="AA81" i="9" s="1"/>
  <c r="AB81" i="9" s="1"/>
  <c r="W82" i="14" s="1"/>
  <c r="V81" i="9"/>
  <c r="W81" i="9" s="1"/>
  <c r="X81" i="9" s="1"/>
  <c r="S82" i="14" s="1"/>
  <c r="R81" i="9"/>
  <c r="S81" i="9" s="1"/>
  <c r="T81" i="9" s="1"/>
  <c r="O82" i="14" s="1"/>
  <c r="N81" i="9"/>
  <c r="J82" i="14" s="1"/>
  <c r="F81" i="9"/>
  <c r="G81" i="9" s="1"/>
  <c r="H81" i="9" s="1"/>
  <c r="C82" i="14" s="1"/>
  <c r="D81" i="9"/>
  <c r="Z80" i="9"/>
  <c r="AA80" i="9" s="1"/>
  <c r="AB80" i="9" s="1"/>
  <c r="W81" i="14" s="1"/>
  <c r="V80" i="9"/>
  <c r="W80" i="9" s="1"/>
  <c r="X80" i="9" s="1"/>
  <c r="S81" i="14" s="1"/>
  <c r="R80" i="9"/>
  <c r="S80" i="9" s="1"/>
  <c r="T80" i="9" s="1"/>
  <c r="O81" i="14" s="1"/>
  <c r="N80" i="9"/>
  <c r="O80" i="9" s="1"/>
  <c r="P80" i="9" s="1"/>
  <c r="K81" i="14" s="1"/>
  <c r="F80" i="9"/>
  <c r="G80" i="9" s="1"/>
  <c r="H80" i="9" s="1"/>
  <c r="C81" i="14" s="1"/>
  <c r="D80" i="9"/>
  <c r="Z79" i="9"/>
  <c r="AA79" i="9" s="1"/>
  <c r="AB79" i="9" s="1"/>
  <c r="W80" i="14" s="1"/>
  <c r="V79" i="9"/>
  <c r="W79" i="9" s="1"/>
  <c r="X79" i="9" s="1"/>
  <c r="S80" i="14" s="1"/>
  <c r="R79" i="9"/>
  <c r="S79" i="9" s="1"/>
  <c r="T79" i="9" s="1"/>
  <c r="O80" i="14" s="1"/>
  <c r="N79" i="9"/>
  <c r="O79" i="9" s="1"/>
  <c r="P79" i="9" s="1"/>
  <c r="K80" i="14" s="1"/>
  <c r="F79" i="9"/>
  <c r="G79" i="9" s="1"/>
  <c r="H79" i="9" s="1"/>
  <c r="C80" i="14" s="1"/>
  <c r="D79" i="9"/>
  <c r="Z78" i="9"/>
  <c r="AA78" i="9" s="1"/>
  <c r="AB78" i="9" s="1"/>
  <c r="W79" i="14" s="1"/>
  <c r="V78" i="9"/>
  <c r="R79" i="14" s="1"/>
  <c r="R78" i="9"/>
  <c r="S78" i="9" s="1"/>
  <c r="T78" i="9" s="1"/>
  <c r="O79" i="14" s="1"/>
  <c r="N78" i="9"/>
  <c r="O78" i="9" s="1"/>
  <c r="P78" i="9" s="1"/>
  <c r="K79" i="14" s="1"/>
  <c r="F78" i="9"/>
  <c r="G78" i="9" s="1"/>
  <c r="H78" i="9" s="1"/>
  <c r="C79" i="14" s="1"/>
  <c r="D78" i="9"/>
  <c r="Z77" i="9"/>
  <c r="V78" i="14" s="1"/>
  <c r="V77" i="9"/>
  <c r="W77" i="9" s="1"/>
  <c r="X77" i="9" s="1"/>
  <c r="S78" i="14" s="1"/>
  <c r="R77" i="9"/>
  <c r="N78" i="14" s="1"/>
  <c r="N77" i="9"/>
  <c r="O77" i="9" s="1"/>
  <c r="P77" i="9" s="1"/>
  <c r="K78" i="14" s="1"/>
  <c r="F77" i="9"/>
  <c r="G77" i="9" s="1"/>
  <c r="H77" i="9" s="1"/>
  <c r="C78" i="14" s="1"/>
  <c r="D77" i="9"/>
  <c r="Z76" i="9"/>
  <c r="AA76" i="9" s="1"/>
  <c r="AB76" i="9" s="1"/>
  <c r="W77" i="14" s="1"/>
  <c r="V76" i="9"/>
  <c r="W76" i="9" s="1"/>
  <c r="X76" i="9" s="1"/>
  <c r="S77" i="14" s="1"/>
  <c r="R76" i="9"/>
  <c r="S76" i="9" s="1"/>
  <c r="T76" i="9" s="1"/>
  <c r="O77" i="14" s="1"/>
  <c r="N76" i="9"/>
  <c r="O76" i="9" s="1"/>
  <c r="P76" i="9" s="1"/>
  <c r="K77" i="14" s="1"/>
  <c r="F76" i="9"/>
  <c r="G76" i="9" s="1"/>
  <c r="H76" i="9" s="1"/>
  <c r="C77" i="14" s="1"/>
  <c r="D76" i="9"/>
  <c r="Z75" i="9"/>
  <c r="AA75" i="9" s="1"/>
  <c r="AB75" i="9" s="1"/>
  <c r="W76" i="14" s="1"/>
  <c r="V75" i="9"/>
  <c r="W75" i="9" s="1"/>
  <c r="X75" i="9" s="1"/>
  <c r="S76" i="14" s="1"/>
  <c r="R75" i="9"/>
  <c r="N76" i="14" s="1"/>
  <c r="N75" i="9"/>
  <c r="O75" i="9" s="1"/>
  <c r="P75" i="9" s="1"/>
  <c r="K76" i="14" s="1"/>
  <c r="F75" i="9"/>
  <c r="G75" i="9" s="1"/>
  <c r="H75" i="9" s="1"/>
  <c r="C76" i="14" s="1"/>
  <c r="D75" i="9"/>
  <c r="Z74" i="9"/>
  <c r="AA74" i="9" s="1"/>
  <c r="AB74" i="9" s="1"/>
  <c r="W75" i="14" s="1"/>
  <c r="V74" i="9"/>
  <c r="W74" i="9" s="1"/>
  <c r="X74" i="9" s="1"/>
  <c r="S75" i="14" s="1"/>
  <c r="R74" i="9"/>
  <c r="S74" i="9" s="1"/>
  <c r="T74" i="9" s="1"/>
  <c r="O75" i="14" s="1"/>
  <c r="N74" i="9"/>
  <c r="O74" i="9" s="1"/>
  <c r="P74" i="9" s="1"/>
  <c r="K75" i="14" s="1"/>
  <c r="F74" i="9"/>
  <c r="G74" i="9" s="1"/>
  <c r="H74" i="9" s="1"/>
  <c r="C75" i="14" s="1"/>
  <c r="D74" i="9"/>
  <c r="Z73" i="9"/>
  <c r="AA73" i="9" s="1"/>
  <c r="AB73" i="9" s="1"/>
  <c r="W74" i="14" s="1"/>
  <c r="V73" i="9"/>
  <c r="R74" i="14" s="1"/>
  <c r="R73" i="9"/>
  <c r="S73" i="9" s="1"/>
  <c r="T73" i="9" s="1"/>
  <c r="O74" i="14" s="1"/>
  <c r="N73" i="9"/>
  <c r="O73" i="9" s="1"/>
  <c r="P73" i="9" s="1"/>
  <c r="K74" i="14" s="1"/>
  <c r="F73" i="9"/>
  <c r="G73" i="9" s="1"/>
  <c r="H73" i="9" s="1"/>
  <c r="C74" i="14" s="1"/>
  <c r="D73" i="9"/>
  <c r="Z72" i="9"/>
  <c r="AA72" i="9" s="1"/>
  <c r="AB72" i="9" s="1"/>
  <c r="W73" i="14" s="1"/>
  <c r="V72" i="9"/>
  <c r="R73" i="14" s="1"/>
  <c r="R72" i="9"/>
  <c r="S72" i="9" s="1"/>
  <c r="T72" i="9" s="1"/>
  <c r="O73" i="14" s="1"/>
  <c r="N72" i="9"/>
  <c r="O72" i="9" s="1"/>
  <c r="P72" i="9" s="1"/>
  <c r="K73" i="14" s="1"/>
  <c r="F72" i="9"/>
  <c r="G72" i="9" s="1"/>
  <c r="H72" i="9" s="1"/>
  <c r="C73" i="14" s="1"/>
  <c r="D72" i="9"/>
  <c r="Z71" i="9"/>
  <c r="AA71" i="9" s="1"/>
  <c r="AB71" i="9" s="1"/>
  <c r="W72" i="14" s="1"/>
  <c r="V71" i="9"/>
  <c r="W71" i="9" s="1"/>
  <c r="X71" i="9" s="1"/>
  <c r="S72" i="14" s="1"/>
  <c r="R71" i="9"/>
  <c r="N71" i="9"/>
  <c r="O71" i="9" s="1"/>
  <c r="P71" i="9" s="1"/>
  <c r="K72" i="14" s="1"/>
  <c r="F71" i="9"/>
  <c r="G71" i="9" s="1"/>
  <c r="H71" i="9" s="1"/>
  <c r="C72" i="14" s="1"/>
  <c r="D71" i="9"/>
  <c r="Z70" i="9"/>
  <c r="AA70" i="9" s="1"/>
  <c r="AB70" i="9" s="1"/>
  <c r="W71" i="14" s="1"/>
  <c r="V70" i="9"/>
  <c r="R71" i="14" s="1"/>
  <c r="R70" i="9"/>
  <c r="S70" i="9" s="1"/>
  <c r="T70" i="9" s="1"/>
  <c r="O71" i="14" s="1"/>
  <c r="N70" i="9"/>
  <c r="O70" i="9" s="1"/>
  <c r="P70" i="9" s="1"/>
  <c r="K71" i="14" s="1"/>
  <c r="F70" i="9"/>
  <c r="G70" i="9" s="1"/>
  <c r="H70" i="9" s="1"/>
  <c r="C71" i="14" s="1"/>
  <c r="D70" i="9"/>
  <c r="Z69" i="9"/>
  <c r="AA69" i="9" s="1"/>
  <c r="AB69" i="9" s="1"/>
  <c r="W70" i="14" s="1"/>
  <c r="V69" i="9"/>
  <c r="W69" i="9" s="1"/>
  <c r="X69" i="9" s="1"/>
  <c r="S70" i="14" s="1"/>
  <c r="R69" i="9"/>
  <c r="S69" i="9" s="1"/>
  <c r="T69" i="9" s="1"/>
  <c r="O70" i="14" s="1"/>
  <c r="N69" i="9"/>
  <c r="O69" i="9" s="1"/>
  <c r="P69" i="9" s="1"/>
  <c r="K70" i="14" s="1"/>
  <c r="F69" i="9"/>
  <c r="G69" i="9" s="1"/>
  <c r="H69" i="9" s="1"/>
  <c r="C70" i="14" s="1"/>
  <c r="D69" i="9"/>
  <c r="Z68" i="9"/>
  <c r="V69" i="14" s="1"/>
  <c r="V68" i="9"/>
  <c r="R69" i="14" s="1"/>
  <c r="R68" i="9"/>
  <c r="S68" i="9" s="1"/>
  <c r="T68" i="9" s="1"/>
  <c r="O69" i="14" s="1"/>
  <c r="N68" i="9"/>
  <c r="O68" i="9" s="1"/>
  <c r="P68" i="9" s="1"/>
  <c r="K69" i="14" s="1"/>
  <c r="F68" i="9"/>
  <c r="G68" i="9" s="1"/>
  <c r="H68" i="9" s="1"/>
  <c r="C69" i="14" s="1"/>
  <c r="D68" i="9"/>
  <c r="Z67" i="9"/>
  <c r="AA67" i="9" s="1"/>
  <c r="AB67" i="9" s="1"/>
  <c r="W68" i="14" s="1"/>
  <c r="V67" i="9"/>
  <c r="W67" i="9" s="1"/>
  <c r="X67" i="9" s="1"/>
  <c r="S68" i="14" s="1"/>
  <c r="R67" i="9"/>
  <c r="S67" i="9" s="1"/>
  <c r="T67" i="9" s="1"/>
  <c r="O68" i="14" s="1"/>
  <c r="N67" i="9"/>
  <c r="O67" i="9" s="1"/>
  <c r="P67" i="9" s="1"/>
  <c r="K68" i="14" s="1"/>
  <c r="F67" i="9"/>
  <c r="G67" i="9" s="1"/>
  <c r="H67" i="9" s="1"/>
  <c r="C68" i="14" s="1"/>
  <c r="D67" i="9"/>
  <c r="Z66" i="9"/>
  <c r="AA66" i="9" s="1"/>
  <c r="AB66" i="9" s="1"/>
  <c r="W67" i="14" s="1"/>
  <c r="V66" i="9"/>
  <c r="W66" i="9" s="1"/>
  <c r="X66" i="9" s="1"/>
  <c r="S67" i="14" s="1"/>
  <c r="R66" i="9"/>
  <c r="S66" i="9" s="1"/>
  <c r="T66" i="9" s="1"/>
  <c r="O67" i="14" s="1"/>
  <c r="N66" i="9"/>
  <c r="O66" i="9" s="1"/>
  <c r="P66" i="9" s="1"/>
  <c r="K67" i="14" s="1"/>
  <c r="F66" i="9"/>
  <c r="G66" i="9" s="1"/>
  <c r="H66" i="9" s="1"/>
  <c r="C67" i="14" s="1"/>
  <c r="D66" i="9"/>
  <c r="Z65" i="9"/>
  <c r="AA65" i="9" s="1"/>
  <c r="AB65" i="9" s="1"/>
  <c r="W66" i="14" s="1"/>
  <c r="V65" i="9"/>
  <c r="W65" i="9" s="1"/>
  <c r="X65" i="9" s="1"/>
  <c r="S66" i="14" s="1"/>
  <c r="R65" i="9"/>
  <c r="N66" i="14" s="1"/>
  <c r="N65" i="9"/>
  <c r="O65" i="9" s="1"/>
  <c r="P65" i="9" s="1"/>
  <c r="K66" i="14" s="1"/>
  <c r="F65" i="9"/>
  <c r="G65" i="9" s="1"/>
  <c r="H65" i="9" s="1"/>
  <c r="C66" i="14" s="1"/>
  <c r="D65" i="9"/>
  <c r="Z64" i="9"/>
  <c r="V65" i="14" s="1"/>
  <c r="V64" i="9"/>
  <c r="W64" i="9" s="1"/>
  <c r="X64" i="9" s="1"/>
  <c r="S65" i="14" s="1"/>
  <c r="R64" i="9"/>
  <c r="N64" i="9"/>
  <c r="O64" i="9" s="1"/>
  <c r="P64" i="9" s="1"/>
  <c r="K65" i="14" s="1"/>
  <c r="F64" i="9"/>
  <c r="G64" i="9" s="1"/>
  <c r="H64" i="9" s="1"/>
  <c r="C65" i="14" s="1"/>
  <c r="D64" i="9"/>
  <c r="Z63" i="9"/>
  <c r="AA63" i="9" s="1"/>
  <c r="AB63" i="9" s="1"/>
  <c r="W64" i="14" s="1"/>
  <c r="V63" i="9"/>
  <c r="W63" i="9" s="1"/>
  <c r="X63" i="9" s="1"/>
  <c r="S64" i="14" s="1"/>
  <c r="R63" i="9"/>
  <c r="S63" i="9" s="1"/>
  <c r="T63" i="9" s="1"/>
  <c r="O64" i="14" s="1"/>
  <c r="N63" i="9"/>
  <c r="O63" i="9" s="1"/>
  <c r="P63" i="9" s="1"/>
  <c r="K64" i="14" s="1"/>
  <c r="F63" i="9"/>
  <c r="G63" i="9" s="1"/>
  <c r="H63" i="9" s="1"/>
  <c r="C64" i="14" s="1"/>
  <c r="D63" i="9"/>
  <c r="Z62" i="9"/>
  <c r="AA62" i="9" s="1"/>
  <c r="AB62" i="9" s="1"/>
  <c r="W63" i="14" s="1"/>
  <c r="V62" i="9"/>
  <c r="W62" i="9" s="1"/>
  <c r="X62" i="9" s="1"/>
  <c r="S63" i="14" s="1"/>
  <c r="R62" i="9"/>
  <c r="S62" i="9" s="1"/>
  <c r="T62" i="9" s="1"/>
  <c r="O63" i="14" s="1"/>
  <c r="N62" i="9"/>
  <c r="O62" i="9" s="1"/>
  <c r="P62" i="9" s="1"/>
  <c r="K63" i="14" s="1"/>
  <c r="F62" i="9"/>
  <c r="G62" i="9" s="1"/>
  <c r="H62" i="9" s="1"/>
  <c r="C63" i="14" s="1"/>
  <c r="D62" i="9"/>
  <c r="Z61" i="9"/>
  <c r="AA61" i="9" s="1"/>
  <c r="AB61" i="9" s="1"/>
  <c r="W62" i="14" s="1"/>
  <c r="V61" i="9"/>
  <c r="W61" i="9" s="1"/>
  <c r="X61" i="9" s="1"/>
  <c r="S62" i="14" s="1"/>
  <c r="R61" i="9"/>
  <c r="S61" i="9" s="1"/>
  <c r="T61" i="9" s="1"/>
  <c r="O62" i="14" s="1"/>
  <c r="N61" i="9"/>
  <c r="O61" i="9" s="1"/>
  <c r="P61" i="9" s="1"/>
  <c r="K62" i="14" s="1"/>
  <c r="K61" i="9"/>
  <c r="L61" i="9" s="1"/>
  <c r="G62" i="14" s="1"/>
  <c r="F61" i="9"/>
  <c r="G61" i="9" s="1"/>
  <c r="H61" i="9" s="1"/>
  <c r="C62" i="14" s="1"/>
  <c r="D61" i="9"/>
  <c r="Z60" i="9"/>
  <c r="V61" i="14" s="1"/>
  <c r="V60" i="9"/>
  <c r="W60" i="9" s="1"/>
  <c r="X60" i="9" s="1"/>
  <c r="S61" i="14" s="1"/>
  <c r="R60" i="9"/>
  <c r="S60" i="9" s="1"/>
  <c r="T60" i="9" s="1"/>
  <c r="O61" i="14" s="1"/>
  <c r="N60" i="9"/>
  <c r="O60" i="9" s="1"/>
  <c r="P60" i="9" s="1"/>
  <c r="K61" i="14" s="1"/>
  <c r="F60" i="9"/>
  <c r="G60" i="9" s="1"/>
  <c r="H60" i="9" s="1"/>
  <c r="C61" i="14" s="1"/>
  <c r="D60" i="9"/>
  <c r="Z59" i="9"/>
  <c r="AA59" i="9" s="1"/>
  <c r="AB59" i="9" s="1"/>
  <c r="W60" i="14" s="1"/>
  <c r="V59" i="9"/>
  <c r="W59" i="9" s="1"/>
  <c r="X59" i="9" s="1"/>
  <c r="S60" i="14" s="1"/>
  <c r="R59" i="9"/>
  <c r="S59" i="9" s="1"/>
  <c r="T59" i="9" s="1"/>
  <c r="O60" i="14" s="1"/>
  <c r="N59" i="9"/>
  <c r="O59" i="9" s="1"/>
  <c r="P59" i="9" s="1"/>
  <c r="K60" i="14" s="1"/>
  <c r="F59" i="9"/>
  <c r="G59" i="9" s="1"/>
  <c r="H59" i="9" s="1"/>
  <c r="C60" i="14" s="1"/>
  <c r="D59" i="9"/>
  <c r="Z58" i="9"/>
  <c r="AA58" i="9" s="1"/>
  <c r="AB58" i="9" s="1"/>
  <c r="W59" i="14" s="1"/>
  <c r="V58" i="9"/>
  <c r="W58" i="9" s="1"/>
  <c r="X58" i="9" s="1"/>
  <c r="S59" i="14" s="1"/>
  <c r="R58" i="9"/>
  <c r="N59" i="14" s="1"/>
  <c r="N58" i="9"/>
  <c r="J59" i="14" s="1"/>
  <c r="F58" i="9"/>
  <c r="G58" i="9" s="1"/>
  <c r="H58" i="9" s="1"/>
  <c r="C59" i="14" s="1"/>
  <c r="D58" i="9"/>
  <c r="Z57" i="9"/>
  <c r="AA57" i="9" s="1"/>
  <c r="AB57" i="9" s="1"/>
  <c r="W58" i="14" s="1"/>
  <c r="V57" i="9"/>
  <c r="W57" i="9" s="1"/>
  <c r="X57" i="9" s="1"/>
  <c r="S58" i="14" s="1"/>
  <c r="R57" i="9"/>
  <c r="S57" i="9" s="1"/>
  <c r="T57" i="9" s="1"/>
  <c r="O58" i="14" s="1"/>
  <c r="N57" i="9"/>
  <c r="J58" i="14" s="1"/>
  <c r="F57" i="9"/>
  <c r="G57" i="9" s="1"/>
  <c r="H57" i="9" s="1"/>
  <c r="C58" i="14" s="1"/>
  <c r="D57" i="9"/>
  <c r="Z56" i="9"/>
  <c r="AA56" i="9" s="1"/>
  <c r="AB56" i="9" s="1"/>
  <c r="W57" i="14" s="1"/>
  <c r="V56" i="9"/>
  <c r="R57" i="14" s="1"/>
  <c r="R56" i="9"/>
  <c r="S56" i="9" s="1"/>
  <c r="T56" i="9" s="1"/>
  <c r="O57" i="14" s="1"/>
  <c r="N56" i="9"/>
  <c r="O56" i="9" s="1"/>
  <c r="P56" i="9" s="1"/>
  <c r="K57" i="14" s="1"/>
  <c r="F56" i="9"/>
  <c r="G56" i="9" s="1"/>
  <c r="H56" i="9" s="1"/>
  <c r="C57" i="14" s="1"/>
  <c r="D56" i="9"/>
  <c r="Z55" i="9"/>
  <c r="V56" i="14" s="1"/>
  <c r="V55" i="9"/>
  <c r="R56" i="14" s="1"/>
  <c r="R55" i="9"/>
  <c r="N55" i="9"/>
  <c r="O55" i="9" s="1"/>
  <c r="P55" i="9" s="1"/>
  <c r="K56" i="14" s="1"/>
  <c r="F55" i="9"/>
  <c r="G55" i="9" s="1"/>
  <c r="H55" i="9" s="1"/>
  <c r="C56" i="14" s="1"/>
  <c r="D55" i="9"/>
  <c r="Z54" i="9"/>
  <c r="AA54" i="9" s="1"/>
  <c r="AB54" i="9" s="1"/>
  <c r="W55" i="14" s="1"/>
  <c r="V54" i="9"/>
  <c r="R55" i="14" s="1"/>
  <c r="R54" i="9"/>
  <c r="S54" i="9" s="1"/>
  <c r="T54" i="9" s="1"/>
  <c r="O55" i="14" s="1"/>
  <c r="N54" i="9"/>
  <c r="O54" i="9" s="1"/>
  <c r="P54" i="9" s="1"/>
  <c r="K55" i="14" s="1"/>
  <c r="F54" i="9"/>
  <c r="G54" i="9" s="1"/>
  <c r="H54" i="9" s="1"/>
  <c r="C55" i="14" s="1"/>
  <c r="D54" i="9"/>
  <c r="Z53" i="9"/>
  <c r="AA53" i="9" s="1"/>
  <c r="AB53" i="9" s="1"/>
  <c r="W54" i="14" s="1"/>
  <c r="V53" i="9"/>
  <c r="W53" i="9" s="1"/>
  <c r="X53" i="9" s="1"/>
  <c r="S54" i="14" s="1"/>
  <c r="R53" i="9"/>
  <c r="S53" i="9" s="1"/>
  <c r="T53" i="9" s="1"/>
  <c r="O54" i="14" s="1"/>
  <c r="N53" i="9"/>
  <c r="O53" i="9" s="1"/>
  <c r="P53" i="9" s="1"/>
  <c r="K54" i="14" s="1"/>
  <c r="F53" i="9"/>
  <c r="G53" i="9" s="1"/>
  <c r="H53" i="9" s="1"/>
  <c r="C54" i="14" s="1"/>
  <c r="D53" i="9"/>
  <c r="Z52" i="9"/>
  <c r="AA52" i="9" s="1"/>
  <c r="AB52" i="9" s="1"/>
  <c r="W53" i="14" s="1"/>
  <c r="V52" i="9"/>
  <c r="R53" i="14" s="1"/>
  <c r="R52" i="9"/>
  <c r="S52" i="9" s="1"/>
  <c r="T52" i="9" s="1"/>
  <c r="O53" i="14" s="1"/>
  <c r="N52" i="9"/>
  <c r="O52" i="9" s="1"/>
  <c r="P52" i="9" s="1"/>
  <c r="K53" i="14" s="1"/>
  <c r="F52" i="9"/>
  <c r="G52" i="9" s="1"/>
  <c r="H52" i="9" s="1"/>
  <c r="C53" i="14" s="1"/>
  <c r="D52" i="9"/>
  <c r="Z51" i="9"/>
  <c r="AA51" i="9" s="1"/>
  <c r="AB51" i="9" s="1"/>
  <c r="W52" i="14" s="1"/>
  <c r="V51" i="9"/>
  <c r="W51" i="9" s="1"/>
  <c r="X51" i="9" s="1"/>
  <c r="S52" i="14" s="1"/>
  <c r="R51" i="9"/>
  <c r="S51" i="9" s="1"/>
  <c r="T51" i="9" s="1"/>
  <c r="O52" i="14" s="1"/>
  <c r="N51" i="9"/>
  <c r="J52" i="14" s="1"/>
  <c r="F51" i="9"/>
  <c r="G51" i="9" s="1"/>
  <c r="H51" i="9" s="1"/>
  <c r="C52" i="14" s="1"/>
  <c r="D51" i="9"/>
  <c r="Z50" i="9"/>
  <c r="AA50" i="9" s="1"/>
  <c r="AB50" i="9" s="1"/>
  <c r="W51" i="14" s="1"/>
  <c r="V50" i="9"/>
  <c r="W50" i="9" s="1"/>
  <c r="X50" i="9" s="1"/>
  <c r="S51" i="14" s="1"/>
  <c r="R50" i="9"/>
  <c r="N51" i="14" s="1"/>
  <c r="N50" i="9"/>
  <c r="O50" i="9" s="1"/>
  <c r="P50" i="9" s="1"/>
  <c r="K51" i="14" s="1"/>
  <c r="F50" i="9"/>
  <c r="G50" i="9" s="1"/>
  <c r="H50" i="9" s="1"/>
  <c r="C51" i="14" s="1"/>
  <c r="D50" i="9"/>
  <c r="Z49" i="9"/>
  <c r="AA49" i="9" s="1"/>
  <c r="AB49" i="9" s="1"/>
  <c r="W50" i="14" s="1"/>
  <c r="V49" i="9"/>
  <c r="W49" i="9" s="1"/>
  <c r="X49" i="9" s="1"/>
  <c r="S50" i="14" s="1"/>
  <c r="R49" i="9"/>
  <c r="S49" i="9" s="1"/>
  <c r="T49" i="9" s="1"/>
  <c r="O50" i="14" s="1"/>
  <c r="N49" i="9"/>
  <c r="O49" i="9" s="1"/>
  <c r="P49" i="9" s="1"/>
  <c r="K50" i="14" s="1"/>
  <c r="F49" i="9"/>
  <c r="G49" i="9" s="1"/>
  <c r="H49" i="9" s="1"/>
  <c r="C50" i="14" s="1"/>
  <c r="D49" i="9"/>
  <c r="Z48" i="9"/>
  <c r="AA48" i="9" s="1"/>
  <c r="AB48" i="9" s="1"/>
  <c r="W49" i="14" s="1"/>
  <c r="V48" i="9"/>
  <c r="W48" i="9" s="1"/>
  <c r="X48" i="9" s="1"/>
  <c r="S49" i="14" s="1"/>
  <c r="R48" i="9"/>
  <c r="S48" i="9" s="1"/>
  <c r="T48" i="9" s="1"/>
  <c r="O49" i="14" s="1"/>
  <c r="N48" i="9"/>
  <c r="O48" i="9" s="1"/>
  <c r="P48" i="9" s="1"/>
  <c r="K49" i="14" s="1"/>
  <c r="F48" i="9"/>
  <c r="G48" i="9" s="1"/>
  <c r="H48" i="9" s="1"/>
  <c r="C49" i="14" s="1"/>
  <c r="D48" i="9"/>
  <c r="Z47" i="9"/>
  <c r="AA47" i="9" s="1"/>
  <c r="AB47" i="9" s="1"/>
  <c r="W48" i="14" s="1"/>
  <c r="V47" i="9"/>
  <c r="W47" i="9" s="1"/>
  <c r="X47" i="9" s="1"/>
  <c r="S48" i="14" s="1"/>
  <c r="R47" i="9"/>
  <c r="S47" i="9" s="1"/>
  <c r="T47" i="9" s="1"/>
  <c r="O48" i="14" s="1"/>
  <c r="N47" i="9"/>
  <c r="O47" i="9" s="1"/>
  <c r="P47" i="9" s="1"/>
  <c r="K48" i="14" s="1"/>
  <c r="F47" i="9"/>
  <c r="G47" i="9" s="1"/>
  <c r="H47" i="9" s="1"/>
  <c r="C48" i="14" s="1"/>
  <c r="D47" i="9"/>
  <c r="Z46" i="9"/>
  <c r="V47" i="14" s="1"/>
  <c r="V46" i="9"/>
  <c r="W46" i="9" s="1"/>
  <c r="X46" i="9" s="1"/>
  <c r="S47" i="14" s="1"/>
  <c r="R46" i="9"/>
  <c r="S46" i="9" s="1"/>
  <c r="T46" i="9" s="1"/>
  <c r="O47" i="14" s="1"/>
  <c r="N46" i="9"/>
  <c r="O46" i="9" s="1"/>
  <c r="P46" i="9" s="1"/>
  <c r="K47" i="14" s="1"/>
  <c r="F46" i="9"/>
  <c r="G46" i="9" s="1"/>
  <c r="H46" i="9" s="1"/>
  <c r="C47" i="14" s="1"/>
  <c r="D46" i="9"/>
  <c r="Z45" i="9"/>
  <c r="AA45" i="9" s="1"/>
  <c r="AB45" i="9" s="1"/>
  <c r="W46" i="14" s="1"/>
  <c r="V45" i="9"/>
  <c r="W45" i="9" s="1"/>
  <c r="X45" i="9" s="1"/>
  <c r="S46" i="14" s="1"/>
  <c r="R45" i="9"/>
  <c r="S45" i="9" s="1"/>
  <c r="T45" i="9" s="1"/>
  <c r="O46" i="14" s="1"/>
  <c r="N45" i="9"/>
  <c r="O45" i="9" s="1"/>
  <c r="P45" i="9" s="1"/>
  <c r="K46" i="14" s="1"/>
  <c r="F45" i="9"/>
  <c r="G45" i="9" s="1"/>
  <c r="H45" i="9" s="1"/>
  <c r="C46" i="14" s="1"/>
  <c r="D45" i="9"/>
  <c r="Z44" i="9"/>
  <c r="AA44" i="9" s="1"/>
  <c r="AB44" i="9" s="1"/>
  <c r="W45" i="14" s="1"/>
  <c r="V44" i="9"/>
  <c r="W44" i="9" s="1"/>
  <c r="X44" i="9" s="1"/>
  <c r="S45" i="14" s="1"/>
  <c r="R44" i="9"/>
  <c r="N44" i="9"/>
  <c r="O44" i="9" s="1"/>
  <c r="P44" i="9" s="1"/>
  <c r="K45" i="14" s="1"/>
  <c r="F44" i="9"/>
  <c r="G44" i="9" s="1"/>
  <c r="H44" i="9" s="1"/>
  <c r="C45" i="14" s="1"/>
  <c r="D44" i="9"/>
  <c r="Z43" i="9"/>
  <c r="AA43" i="9" s="1"/>
  <c r="AB43" i="9" s="1"/>
  <c r="W44" i="14" s="1"/>
  <c r="V43" i="9"/>
  <c r="W43" i="9" s="1"/>
  <c r="X43" i="9" s="1"/>
  <c r="S44" i="14" s="1"/>
  <c r="R43" i="9"/>
  <c r="S43" i="9" s="1"/>
  <c r="T43" i="9" s="1"/>
  <c r="O44" i="14" s="1"/>
  <c r="N43" i="9"/>
  <c r="J44" i="14" s="1"/>
  <c r="F43" i="9"/>
  <c r="G43" i="9" s="1"/>
  <c r="H43" i="9" s="1"/>
  <c r="C44" i="14" s="1"/>
  <c r="D43" i="9"/>
  <c r="Z42" i="9"/>
  <c r="V43" i="14" s="1"/>
  <c r="V42" i="9"/>
  <c r="R43" i="14" s="1"/>
  <c r="R42" i="9"/>
  <c r="S42" i="9" s="1"/>
  <c r="T42" i="9" s="1"/>
  <c r="O43" i="14" s="1"/>
  <c r="N42" i="9"/>
  <c r="O42" i="9" s="1"/>
  <c r="P42" i="9" s="1"/>
  <c r="K43" i="14" s="1"/>
  <c r="F42" i="9"/>
  <c r="G42" i="9" s="1"/>
  <c r="H42" i="9" s="1"/>
  <c r="C43" i="14" s="1"/>
  <c r="D42" i="9"/>
  <c r="Z41" i="9"/>
  <c r="V42" i="14" s="1"/>
  <c r="V41" i="9"/>
  <c r="R42" i="14" s="1"/>
  <c r="R41" i="9"/>
  <c r="S41" i="9" s="1"/>
  <c r="T41" i="9" s="1"/>
  <c r="O42" i="14" s="1"/>
  <c r="N41" i="9"/>
  <c r="O41" i="9" s="1"/>
  <c r="P41" i="9" s="1"/>
  <c r="K42" i="14" s="1"/>
  <c r="F41" i="9"/>
  <c r="G41" i="9" s="1"/>
  <c r="H41" i="9" s="1"/>
  <c r="C42" i="14" s="1"/>
  <c r="D41" i="9"/>
  <c r="Z40" i="9"/>
  <c r="AA40" i="9" s="1"/>
  <c r="AB40" i="9" s="1"/>
  <c r="W41" i="14" s="1"/>
  <c r="V40" i="9"/>
  <c r="W40" i="9" s="1"/>
  <c r="X40" i="9" s="1"/>
  <c r="S41" i="14" s="1"/>
  <c r="R40" i="9"/>
  <c r="S40" i="9" s="1"/>
  <c r="T40" i="9" s="1"/>
  <c r="O41" i="14" s="1"/>
  <c r="N40" i="9"/>
  <c r="O40" i="9" s="1"/>
  <c r="P40" i="9" s="1"/>
  <c r="K41" i="14" s="1"/>
  <c r="F40" i="9"/>
  <c r="G40" i="9" s="1"/>
  <c r="H40" i="9" s="1"/>
  <c r="C41" i="14" s="1"/>
  <c r="D40" i="9"/>
  <c r="Z39" i="9"/>
  <c r="AA39" i="9" s="1"/>
  <c r="AB39" i="9" s="1"/>
  <c r="W40" i="14" s="1"/>
  <c r="V39" i="9"/>
  <c r="W39" i="9" s="1"/>
  <c r="X39" i="9" s="1"/>
  <c r="S40" i="14" s="1"/>
  <c r="R39" i="9"/>
  <c r="S39" i="9" s="1"/>
  <c r="T39" i="9" s="1"/>
  <c r="O40" i="14" s="1"/>
  <c r="N39" i="9"/>
  <c r="O39" i="9" s="1"/>
  <c r="P39" i="9" s="1"/>
  <c r="K40" i="14" s="1"/>
  <c r="K39" i="9"/>
  <c r="L39" i="9" s="1"/>
  <c r="G40" i="14" s="1"/>
  <c r="F39" i="9"/>
  <c r="G39" i="9" s="1"/>
  <c r="H39" i="9" s="1"/>
  <c r="C40" i="14" s="1"/>
  <c r="D39" i="9"/>
  <c r="Z38" i="9"/>
  <c r="V39" i="14" s="1"/>
  <c r="V38" i="9"/>
  <c r="W38" i="9" s="1"/>
  <c r="X38" i="9" s="1"/>
  <c r="S39" i="14" s="1"/>
  <c r="R38" i="9"/>
  <c r="S38" i="9" s="1"/>
  <c r="T38" i="9" s="1"/>
  <c r="O39" i="14" s="1"/>
  <c r="N38" i="9"/>
  <c r="O38" i="9" s="1"/>
  <c r="P38" i="9" s="1"/>
  <c r="K39" i="14" s="1"/>
  <c r="F38" i="9"/>
  <c r="G38" i="9" s="1"/>
  <c r="H38" i="9" s="1"/>
  <c r="C39" i="14" s="1"/>
  <c r="D38" i="9"/>
  <c r="Z37" i="9"/>
  <c r="AA37" i="9" s="1"/>
  <c r="AB37" i="9" s="1"/>
  <c r="W38" i="14" s="1"/>
  <c r="V37" i="9"/>
  <c r="W37" i="9" s="1"/>
  <c r="X37" i="9" s="1"/>
  <c r="S38" i="14" s="1"/>
  <c r="R37" i="9"/>
  <c r="S37" i="9" s="1"/>
  <c r="T37" i="9" s="1"/>
  <c r="O38" i="14" s="1"/>
  <c r="N37" i="9"/>
  <c r="O37" i="9" s="1"/>
  <c r="P37" i="9" s="1"/>
  <c r="K38" i="14" s="1"/>
  <c r="F37" i="9"/>
  <c r="G37" i="9" s="1"/>
  <c r="H37" i="9" s="1"/>
  <c r="C38" i="14" s="1"/>
  <c r="D37" i="9"/>
  <c r="Z36" i="9"/>
  <c r="AA36" i="9" s="1"/>
  <c r="AB36" i="9" s="1"/>
  <c r="W37" i="14" s="1"/>
  <c r="V36" i="9"/>
  <c r="W36" i="9" s="1"/>
  <c r="X36" i="9" s="1"/>
  <c r="S37" i="14" s="1"/>
  <c r="R36" i="9"/>
  <c r="S36" i="9" s="1"/>
  <c r="T36" i="9" s="1"/>
  <c r="O37" i="14" s="1"/>
  <c r="N36" i="9"/>
  <c r="O36" i="9" s="1"/>
  <c r="P36" i="9" s="1"/>
  <c r="K37" i="14" s="1"/>
  <c r="F36" i="9"/>
  <c r="G36" i="9" s="1"/>
  <c r="H36" i="9" s="1"/>
  <c r="C37" i="14" s="1"/>
  <c r="D36" i="9"/>
  <c r="Z35" i="9"/>
  <c r="V36" i="14" s="1"/>
  <c r="V35" i="9"/>
  <c r="W35" i="9" s="1"/>
  <c r="X35" i="9" s="1"/>
  <c r="S36" i="14" s="1"/>
  <c r="R35" i="9"/>
  <c r="S35" i="9" s="1"/>
  <c r="T35" i="9" s="1"/>
  <c r="O36" i="14" s="1"/>
  <c r="N35" i="9"/>
  <c r="O35" i="9" s="1"/>
  <c r="P35" i="9" s="1"/>
  <c r="K36" i="14" s="1"/>
  <c r="F35" i="9"/>
  <c r="G35" i="9" s="1"/>
  <c r="H35" i="9" s="1"/>
  <c r="C36" i="14" s="1"/>
  <c r="D35" i="9"/>
  <c r="Z34" i="9"/>
  <c r="AA34" i="9" s="1"/>
  <c r="AB34" i="9" s="1"/>
  <c r="W35" i="14" s="1"/>
  <c r="V34" i="9"/>
  <c r="W34" i="9" s="1"/>
  <c r="X34" i="9" s="1"/>
  <c r="S35" i="14" s="1"/>
  <c r="R34" i="9"/>
  <c r="S34" i="9" s="1"/>
  <c r="T34" i="9" s="1"/>
  <c r="O35" i="14" s="1"/>
  <c r="N34" i="9"/>
  <c r="O34" i="9" s="1"/>
  <c r="P34" i="9" s="1"/>
  <c r="K35" i="14" s="1"/>
  <c r="F34" i="9"/>
  <c r="G34" i="9" s="1"/>
  <c r="H34" i="9" s="1"/>
  <c r="C35" i="14" s="1"/>
  <c r="D34" i="9"/>
  <c r="Z33" i="9"/>
  <c r="AA33" i="9" s="1"/>
  <c r="AB33" i="9" s="1"/>
  <c r="W34" i="14" s="1"/>
  <c r="V33" i="9"/>
  <c r="R34" i="14" s="1"/>
  <c r="R33" i="9"/>
  <c r="S33" i="9" s="1"/>
  <c r="T33" i="9" s="1"/>
  <c r="O34" i="14" s="1"/>
  <c r="N33" i="9"/>
  <c r="J34" i="14" s="1"/>
  <c r="F33" i="9"/>
  <c r="G33" i="9" s="1"/>
  <c r="H33" i="9" s="1"/>
  <c r="C34" i="14" s="1"/>
  <c r="D33" i="9"/>
  <c r="Z32" i="9"/>
  <c r="V33" i="14" s="1"/>
  <c r="V32" i="9"/>
  <c r="W32" i="9" s="1"/>
  <c r="X32" i="9" s="1"/>
  <c r="S33" i="14" s="1"/>
  <c r="R32" i="9"/>
  <c r="S32" i="9" s="1"/>
  <c r="T32" i="9" s="1"/>
  <c r="O33" i="14" s="1"/>
  <c r="N32" i="9"/>
  <c r="O32" i="9" s="1"/>
  <c r="P32" i="9" s="1"/>
  <c r="K33" i="14" s="1"/>
  <c r="F32" i="9"/>
  <c r="B33" i="14" s="1"/>
  <c r="D32" i="9"/>
  <c r="Z31" i="9"/>
  <c r="AA31" i="9" s="1"/>
  <c r="AB31" i="9" s="1"/>
  <c r="W32" i="14" s="1"/>
  <c r="V31" i="9"/>
  <c r="W31" i="9" s="1"/>
  <c r="X31" i="9" s="1"/>
  <c r="S32" i="14" s="1"/>
  <c r="R31" i="9"/>
  <c r="S31" i="9" s="1"/>
  <c r="T31" i="9" s="1"/>
  <c r="O32" i="14" s="1"/>
  <c r="N31" i="9"/>
  <c r="O31" i="9" s="1"/>
  <c r="P31" i="9" s="1"/>
  <c r="K32" i="14" s="1"/>
  <c r="F31" i="9"/>
  <c r="G31" i="9" s="1"/>
  <c r="H31" i="9" s="1"/>
  <c r="C32" i="14" s="1"/>
  <c r="D31" i="9"/>
  <c r="Z30" i="9"/>
  <c r="AA30" i="9" s="1"/>
  <c r="AB30" i="9" s="1"/>
  <c r="W31" i="14" s="1"/>
  <c r="V30" i="9"/>
  <c r="W30" i="9" s="1"/>
  <c r="X30" i="9" s="1"/>
  <c r="S31" i="14" s="1"/>
  <c r="R30" i="9"/>
  <c r="S30" i="9" s="1"/>
  <c r="T30" i="9" s="1"/>
  <c r="O31" i="14" s="1"/>
  <c r="N30" i="9"/>
  <c r="O30" i="9" s="1"/>
  <c r="P30" i="9" s="1"/>
  <c r="K31" i="14" s="1"/>
  <c r="F30" i="9"/>
  <c r="G30" i="9" s="1"/>
  <c r="H30" i="9" s="1"/>
  <c r="C31" i="14" s="1"/>
  <c r="D30" i="9"/>
  <c r="Z29" i="9"/>
  <c r="AA29" i="9" s="1"/>
  <c r="AB29" i="9" s="1"/>
  <c r="W30" i="14" s="1"/>
  <c r="V29" i="9"/>
  <c r="W29" i="9" s="1"/>
  <c r="X29" i="9" s="1"/>
  <c r="S30" i="14" s="1"/>
  <c r="R29" i="9"/>
  <c r="S29" i="9" s="1"/>
  <c r="T29" i="9" s="1"/>
  <c r="O30" i="14" s="1"/>
  <c r="N29" i="9"/>
  <c r="O29" i="9" s="1"/>
  <c r="P29" i="9" s="1"/>
  <c r="K30" i="14" s="1"/>
  <c r="F29" i="9"/>
  <c r="G29" i="9" s="1"/>
  <c r="H29" i="9" s="1"/>
  <c r="C30" i="14" s="1"/>
  <c r="D29" i="9"/>
  <c r="Z28" i="9"/>
  <c r="AA28" i="9" s="1"/>
  <c r="AB28" i="9" s="1"/>
  <c r="W29" i="14" s="1"/>
  <c r="V28" i="9"/>
  <c r="R29" i="14" s="1"/>
  <c r="R28" i="9"/>
  <c r="S28" i="9" s="1"/>
  <c r="T28" i="9" s="1"/>
  <c r="O29" i="14" s="1"/>
  <c r="N28" i="9"/>
  <c r="O28" i="9" s="1"/>
  <c r="P28" i="9" s="1"/>
  <c r="K29" i="14" s="1"/>
  <c r="F28" i="9"/>
  <c r="G28" i="9" s="1"/>
  <c r="H28" i="9" s="1"/>
  <c r="C29" i="14" s="1"/>
  <c r="D28" i="9"/>
  <c r="Z27" i="9"/>
  <c r="AA27" i="9" s="1"/>
  <c r="AB27" i="9" s="1"/>
  <c r="W28" i="14" s="1"/>
  <c r="V27" i="9"/>
  <c r="W27" i="9" s="1"/>
  <c r="X27" i="9" s="1"/>
  <c r="S28" i="14" s="1"/>
  <c r="R27" i="9"/>
  <c r="S27" i="9" s="1"/>
  <c r="T27" i="9" s="1"/>
  <c r="O28" i="14" s="1"/>
  <c r="N27" i="9"/>
  <c r="J28" i="14" s="1"/>
  <c r="F27" i="9"/>
  <c r="G27" i="9" s="1"/>
  <c r="H27" i="9" s="1"/>
  <c r="C28" i="14" s="1"/>
  <c r="D27" i="9"/>
  <c r="Z26" i="9"/>
  <c r="V27" i="14" s="1"/>
  <c r="V26" i="9"/>
  <c r="W26" i="9" s="1"/>
  <c r="X26" i="9" s="1"/>
  <c r="S27" i="14" s="1"/>
  <c r="R26" i="9"/>
  <c r="S26" i="9" s="1"/>
  <c r="T26" i="9" s="1"/>
  <c r="O27" i="14" s="1"/>
  <c r="N26" i="9"/>
  <c r="O26" i="9" s="1"/>
  <c r="P26" i="9" s="1"/>
  <c r="K27" i="14" s="1"/>
  <c r="F26" i="9"/>
  <c r="G26" i="9" s="1"/>
  <c r="H26" i="9" s="1"/>
  <c r="C27" i="14" s="1"/>
  <c r="D26" i="9"/>
  <c r="Z25" i="9"/>
  <c r="AA25" i="9" s="1"/>
  <c r="AB25" i="9" s="1"/>
  <c r="W26" i="14" s="1"/>
  <c r="V25" i="9"/>
  <c r="W25" i="9" s="1"/>
  <c r="X25" i="9" s="1"/>
  <c r="S26" i="14" s="1"/>
  <c r="R25" i="9"/>
  <c r="S25" i="9" s="1"/>
  <c r="T25" i="9" s="1"/>
  <c r="O26" i="14" s="1"/>
  <c r="N25" i="9"/>
  <c r="J26" i="14" s="1"/>
  <c r="F25" i="9"/>
  <c r="G25" i="9" s="1"/>
  <c r="H25" i="9" s="1"/>
  <c r="C26" i="14" s="1"/>
  <c r="D25" i="9"/>
  <c r="Z24" i="9"/>
  <c r="V25" i="14" s="1"/>
  <c r="V24" i="9"/>
  <c r="W24" i="9" s="1"/>
  <c r="X24" i="9" s="1"/>
  <c r="S25" i="14" s="1"/>
  <c r="R24" i="9"/>
  <c r="S24" i="9" s="1"/>
  <c r="T24" i="9" s="1"/>
  <c r="O25" i="14" s="1"/>
  <c r="N24" i="9"/>
  <c r="O24" i="9" s="1"/>
  <c r="P24" i="9" s="1"/>
  <c r="K25" i="14" s="1"/>
  <c r="F24" i="9"/>
  <c r="G24" i="9" s="1"/>
  <c r="H24" i="9" s="1"/>
  <c r="C25" i="14" s="1"/>
  <c r="D24" i="9"/>
  <c r="Z23" i="9"/>
  <c r="AA23" i="9" s="1"/>
  <c r="AB23" i="9" s="1"/>
  <c r="W24" i="14" s="1"/>
  <c r="V23" i="9"/>
  <c r="W23" i="9" s="1"/>
  <c r="X23" i="9" s="1"/>
  <c r="S24" i="14" s="1"/>
  <c r="R23" i="9"/>
  <c r="S23" i="9" s="1"/>
  <c r="T23" i="9" s="1"/>
  <c r="O24" i="14" s="1"/>
  <c r="N23" i="9"/>
  <c r="O23" i="9" s="1"/>
  <c r="P23" i="9" s="1"/>
  <c r="K24" i="14" s="1"/>
  <c r="F23" i="9"/>
  <c r="G23" i="9" s="1"/>
  <c r="H23" i="9" s="1"/>
  <c r="C24" i="14" s="1"/>
  <c r="D23" i="9"/>
  <c r="Z22" i="9"/>
  <c r="V23" i="14" s="1"/>
  <c r="V22" i="9"/>
  <c r="W22" i="9" s="1"/>
  <c r="X22" i="9" s="1"/>
  <c r="S23" i="14" s="1"/>
  <c r="R22" i="9"/>
  <c r="S22" i="9" s="1"/>
  <c r="T22" i="9" s="1"/>
  <c r="O23" i="14" s="1"/>
  <c r="N22" i="9"/>
  <c r="O22" i="9" s="1"/>
  <c r="P22" i="9" s="1"/>
  <c r="K23" i="14" s="1"/>
  <c r="F22" i="9"/>
  <c r="G22" i="9" s="1"/>
  <c r="H22" i="9" s="1"/>
  <c r="C23" i="14" s="1"/>
  <c r="D22" i="9"/>
  <c r="Z21" i="9"/>
  <c r="AA21" i="9" s="1"/>
  <c r="AB21" i="9" s="1"/>
  <c r="W22" i="14" s="1"/>
  <c r="V21" i="9"/>
  <c r="W21" i="9" s="1"/>
  <c r="X21" i="9" s="1"/>
  <c r="S22" i="14" s="1"/>
  <c r="R21" i="9"/>
  <c r="S21" i="9" s="1"/>
  <c r="T21" i="9" s="1"/>
  <c r="O22" i="14" s="1"/>
  <c r="N21" i="9"/>
  <c r="O21" i="9" s="1"/>
  <c r="P21" i="9" s="1"/>
  <c r="K22" i="14" s="1"/>
  <c r="F21" i="9"/>
  <c r="G21" i="9" s="1"/>
  <c r="H21" i="9" s="1"/>
  <c r="C22" i="14" s="1"/>
  <c r="D21" i="9"/>
  <c r="Z20" i="9"/>
  <c r="AA20" i="9" s="1"/>
  <c r="AB20" i="9" s="1"/>
  <c r="W21" i="14" s="1"/>
  <c r="V20" i="9"/>
  <c r="W20" i="9" s="1"/>
  <c r="X20" i="9" s="1"/>
  <c r="S21" i="14" s="1"/>
  <c r="R20" i="9"/>
  <c r="N21" i="14" s="1"/>
  <c r="N20" i="9"/>
  <c r="O20" i="9" s="1"/>
  <c r="P20" i="9" s="1"/>
  <c r="K21" i="14" s="1"/>
  <c r="F20" i="9"/>
  <c r="G20" i="9" s="1"/>
  <c r="H20" i="9" s="1"/>
  <c r="C21" i="14" s="1"/>
  <c r="D20" i="9"/>
  <c r="Z19" i="9"/>
  <c r="AA19" i="9" s="1"/>
  <c r="AB19" i="9" s="1"/>
  <c r="W20" i="14" s="1"/>
  <c r="V19" i="9"/>
  <c r="W19" i="9" s="1"/>
  <c r="X19" i="9" s="1"/>
  <c r="S20" i="14" s="1"/>
  <c r="R19" i="9"/>
  <c r="S19" i="9" s="1"/>
  <c r="T19" i="9" s="1"/>
  <c r="O20" i="14" s="1"/>
  <c r="N19" i="9"/>
  <c r="J20" i="14" s="1"/>
  <c r="F19" i="9"/>
  <c r="G19" i="9" s="1"/>
  <c r="H19" i="9" s="1"/>
  <c r="C20" i="14" s="1"/>
  <c r="D19" i="9"/>
  <c r="Z18" i="9"/>
  <c r="AA18" i="9" s="1"/>
  <c r="AB18" i="9" s="1"/>
  <c r="W19" i="14" s="1"/>
  <c r="V18" i="9"/>
  <c r="W18" i="9" s="1"/>
  <c r="X18" i="9" s="1"/>
  <c r="S19" i="14" s="1"/>
  <c r="R18" i="9"/>
  <c r="S18" i="9" s="1"/>
  <c r="T18" i="9" s="1"/>
  <c r="O19" i="14" s="1"/>
  <c r="N18" i="9"/>
  <c r="O18" i="9" s="1"/>
  <c r="P18" i="9" s="1"/>
  <c r="K19" i="14" s="1"/>
  <c r="F18" i="9"/>
  <c r="B19" i="14" s="1"/>
  <c r="D18" i="9"/>
  <c r="Z17" i="9"/>
  <c r="AA17" i="9" s="1"/>
  <c r="AB17" i="9" s="1"/>
  <c r="W18" i="14" s="1"/>
  <c r="V17" i="9"/>
  <c r="W17" i="9" s="1"/>
  <c r="X17" i="9" s="1"/>
  <c r="S18" i="14" s="1"/>
  <c r="R17" i="9"/>
  <c r="S17" i="9" s="1"/>
  <c r="T17" i="9" s="1"/>
  <c r="O18" i="14" s="1"/>
  <c r="N17" i="9"/>
  <c r="O17" i="9" s="1"/>
  <c r="P17" i="9" s="1"/>
  <c r="K18" i="14" s="1"/>
  <c r="F17" i="9"/>
  <c r="G17" i="9" s="1"/>
  <c r="H17" i="9" s="1"/>
  <c r="C18" i="14" s="1"/>
  <c r="D17" i="9"/>
  <c r="Z16" i="9"/>
  <c r="AA16" i="9" s="1"/>
  <c r="AB16" i="9" s="1"/>
  <c r="W17" i="14" s="1"/>
  <c r="V16" i="9"/>
  <c r="W16" i="9" s="1"/>
  <c r="X16" i="9" s="1"/>
  <c r="S17" i="14" s="1"/>
  <c r="R16" i="9"/>
  <c r="S16" i="9" s="1"/>
  <c r="T16" i="9" s="1"/>
  <c r="O17" i="14" s="1"/>
  <c r="N16" i="9"/>
  <c r="O16" i="9" s="1"/>
  <c r="P16" i="9" s="1"/>
  <c r="K17" i="14" s="1"/>
  <c r="F16" i="9"/>
  <c r="G16" i="9" s="1"/>
  <c r="H16" i="9" s="1"/>
  <c r="C17" i="14" s="1"/>
  <c r="D16" i="9"/>
  <c r="Z15" i="9"/>
  <c r="AA15" i="9" s="1"/>
  <c r="AB15" i="9" s="1"/>
  <c r="W16" i="14" s="1"/>
  <c r="V15" i="9"/>
  <c r="W15" i="9" s="1"/>
  <c r="X15" i="9" s="1"/>
  <c r="S16" i="14" s="1"/>
  <c r="R15" i="9"/>
  <c r="S15" i="9" s="1"/>
  <c r="T15" i="9" s="1"/>
  <c r="O16" i="14" s="1"/>
  <c r="N15" i="9"/>
  <c r="O15" i="9" s="1"/>
  <c r="P15" i="9" s="1"/>
  <c r="K16" i="14" s="1"/>
  <c r="F15" i="9"/>
  <c r="G15" i="9" s="1"/>
  <c r="H15" i="9" s="1"/>
  <c r="C16" i="14" s="1"/>
  <c r="D15" i="9"/>
  <c r="Z14" i="9"/>
  <c r="AA14" i="9" s="1"/>
  <c r="AB14" i="9" s="1"/>
  <c r="W15" i="14" s="1"/>
  <c r="V14" i="9"/>
  <c r="W14" i="9" s="1"/>
  <c r="X14" i="9" s="1"/>
  <c r="S15" i="14" s="1"/>
  <c r="R14" i="9"/>
  <c r="S14" i="9" s="1"/>
  <c r="T14" i="9" s="1"/>
  <c r="O15" i="14" s="1"/>
  <c r="N14" i="9"/>
  <c r="O14" i="9" s="1"/>
  <c r="P14" i="9" s="1"/>
  <c r="K15" i="14" s="1"/>
  <c r="F14" i="9"/>
  <c r="G14" i="9" s="1"/>
  <c r="H14" i="9" s="1"/>
  <c r="C15" i="14" s="1"/>
  <c r="D14" i="9"/>
  <c r="Z13" i="9"/>
  <c r="V14" i="14" s="1"/>
  <c r="V13" i="9"/>
  <c r="W13" i="9" s="1"/>
  <c r="X13" i="9" s="1"/>
  <c r="S14" i="14" s="1"/>
  <c r="R13" i="9"/>
  <c r="S13" i="9" s="1"/>
  <c r="T13" i="9" s="1"/>
  <c r="O14" i="14" s="1"/>
  <c r="N13" i="9"/>
  <c r="O13" i="9" s="1"/>
  <c r="P13" i="9" s="1"/>
  <c r="K14" i="14" s="1"/>
  <c r="J13" i="9"/>
  <c r="K13" i="9" s="1"/>
  <c r="L13" i="9" s="1"/>
  <c r="G14" i="14" s="1"/>
  <c r="F13" i="9"/>
  <c r="G13" i="9" s="1"/>
  <c r="H13" i="9" s="1"/>
  <c r="C14" i="14" s="1"/>
  <c r="D13" i="9"/>
  <c r="Z12" i="9"/>
  <c r="AA12" i="9" s="1"/>
  <c r="AB12" i="9" s="1"/>
  <c r="W13" i="14" s="1"/>
  <c r="V12" i="9"/>
  <c r="W12" i="9" s="1"/>
  <c r="X12" i="9" s="1"/>
  <c r="S13" i="14" s="1"/>
  <c r="R12" i="9"/>
  <c r="S12" i="9" s="1"/>
  <c r="T12" i="9" s="1"/>
  <c r="O13" i="14" s="1"/>
  <c r="N12" i="9"/>
  <c r="J13" i="14" s="1"/>
  <c r="K12" i="9"/>
  <c r="L12" i="9" s="1"/>
  <c r="G13" i="14" s="1"/>
  <c r="F12" i="9"/>
  <c r="B13" i="14" s="1"/>
  <c r="D12" i="9"/>
  <c r="F8" i="9"/>
  <c r="F7" i="9"/>
  <c r="F6" i="9"/>
  <c r="F5" i="9"/>
  <c r="F4" i="9"/>
  <c r="F3" i="9"/>
  <c r="F139" i="14"/>
  <c r="F29" i="14"/>
  <c r="F13" i="14"/>
  <c r="C8" i="14"/>
  <c r="C7" i="14"/>
  <c r="C6" i="14"/>
  <c r="C5" i="14"/>
  <c r="C4" i="14"/>
  <c r="C3" i="14"/>
  <c r="C193" i="6"/>
  <c r="B193" i="6"/>
  <c r="C192" i="6"/>
  <c r="B192" i="6"/>
  <c r="C191" i="6"/>
  <c r="B191" i="6"/>
  <c r="C190" i="6"/>
  <c r="B190" i="6"/>
  <c r="C189" i="6"/>
  <c r="B189" i="6"/>
  <c r="C188" i="6"/>
  <c r="B188" i="6"/>
  <c r="C187" i="6"/>
  <c r="B187" i="6"/>
  <c r="C186" i="6"/>
  <c r="B186" i="6"/>
  <c r="C185" i="6"/>
  <c r="B185" i="6"/>
  <c r="C184" i="6"/>
  <c r="B184" i="6"/>
  <c r="C183" i="6"/>
  <c r="B183" i="6"/>
  <c r="C182" i="6"/>
  <c r="B182" i="6"/>
  <c r="C181" i="6"/>
  <c r="B181" i="6"/>
  <c r="C180" i="6"/>
  <c r="B180" i="6"/>
  <c r="C179" i="6"/>
  <c r="B179" i="6"/>
  <c r="C178" i="6"/>
  <c r="B178" i="6"/>
  <c r="C177" i="6"/>
  <c r="B177" i="6"/>
  <c r="C176" i="6"/>
  <c r="B176" i="6"/>
  <c r="C175" i="6"/>
  <c r="B175" i="6"/>
  <c r="C174" i="6"/>
  <c r="B174" i="6"/>
  <c r="C173" i="6"/>
  <c r="B173" i="6"/>
  <c r="C172" i="6"/>
  <c r="B172" i="6"/>
  <c r="C171" i="6"/>
  <c r="B171" i="6"/>
  <c r="C170" i="6"/>
  <c r="B170" i="6"/>
  <c r="C169" i="6"/>
  <c r="B169" i="6"/>
  <c r="C168" i="6"/>
  <c r="B168" i="6"/>
  <c r="C167" i="6"/>
  <c r="B167" i="6"/>
  <c r="C166" i="6"/>
  <c r="B166" i="6"/>
  <c r="C165" i="6"/>
  <c r="B165" i="6"/>
  <c r="C164" i="6"/>
  <c r="B164" i="6"/>
  <c r="C163" i="6"/>
  <c r="B163" i="6"/>
  <c r="C162" i="6"/>
  <c r="B162" i="6"/>
  <c r="C161" i="6"/>
  <c r="B161" i="6"/>
  <c r="C160" i="6"/>
  <c r="B160" i="6"/>
  <c r="C159" i="6"/>
  <c r="B159" i="6"/>
  <c r="C158" i="6"/>
  <c r="B158" i="6"/>
  <c r="C157" i="6"/>
  <c r="B157" i="6"/>
  <c r="C156" i="6"/>
  <c r="B156" i="6"/>
  <c r="C155" i="6"/>
  <c r="B155" i="6"/>
  <c r="C154" i="6"/>
  <c r="B154" i="6"/>
  <c r="C153" i="6"/>
  <c r="B153" i="6"/>
  <c r="C152" i="6"/>
  <c r="B152" i="6"/>
  <c r="C151" i="6"/>
  <c r="B151" i="6"/>
  <c r="C150" i="6"/>
  <c r="B150" i="6"/>
  <c r="C149" i="6"/>
  <c r="B149" i="6"/>
  <c r="C148" i="6"/>
  <c r="B148" i="6"/>
  <c r="C147" i="6"/>
  <c r="B147" i="6"/>
  <c r="C146" i="6"/>
  <c r="B146" i="6"/>
  <c r="C145" i="6"/>
  <c r="B145" i="6"/>
  <c r="C144" i="6"/>
  <c r="B144" i="6"/>
  <c r="C143" i="6"/>
  <c r="B143" i="6"/>
  <c r="C142" i="6"/>
  <c r="B142" i="6"/>
  <c r="C141" i="6"/>
  <c r="B141" i="6"/>
  <c r="C140" i="6"/>
  <c r="B140" i="6"/>
  <c r="C139" i="6"/>
  <c r="B139" i="6"/>
  <c r="C138" i="6"/>
  <c r="B138" i="6"/>
  <c r="C137" i="6"/>
  <c r="B137" i="6"/>
  <c r="C136" i="6"/>
  <c r="B136" i="6"/>
  <c r="C135" i="6"/>
  <c r="B135" i="6"/>
  <c r="C134" i="6"/>
  <c r="B134" i="6"/>
  <c r="C133" i="6"/>
  <c r="B133" i="6"/>
  <c r="C132" i="6"/>
  <c r="B132" i="6"/>
  <c r="C131" i="6"/>
  <c r="B131" i="6"/>
  <c r="C130" i="6"/>
  <c r="B130" i="6"/>
  <c r="C129" i="6"/>
  <c r="B129" i="6"/>
  <c r="C128" i="6"/>
  <c r="B128" i="6"/>
  <c r="C127" i="6"/>
  <c r="B127" i="6"/>
  <c r="C126" i="6"/>
  <c r="B126" i="6"/>
  <c r="C125" i="6"/>
  <c r="B125" i="6"/>
  <c r="C124" i="6"/>
  <c r="B124" i="6"/>
  <c r="C123" i="6"/>
  <c r="B123" i="6"/>
  <c r="C122" i="6"/>
  <c r="B122" i="6"/>
  <c r="C121" i="6"/>
  <c r="B121" i="6"/>
  <c r="C120" i="6"/>
  <c r="B120" i="6"/>
  <c r="C119" i="6"/>
  <c r="B119" i="6"/>
  <c r="C118" i="6"/>
  <c r="B118" i="6"/>
  <c r="C117" i="6"/>
  <c r="B117" i="6"/>
  <c r="C116" i="6"/>
  <c r="B116" i="6"/>
  <c r="C115" i="6"/>
  <c r="B115" i="6"/>
  <c r="C114" i="6"/>
  <c r="B114" i="6"/>
  <c r="C113" i="6"/>
  <c r="B113" i="6"/>
  <c r="C112" i="6"/>
  <c r="B112" i="6"/>
  <c r="C111" i="6"/>
  <c r="B111" i="6"/>
  <c r="C110" i="6"/>
  <c r="B110" i="6"/>
  <c r="C109" i="6"/>
  <c r="B109" i="6"/>
  <c r="C108" i="6"/>
  <c r="B108" i="6"/>
  <c r="C107" i="6"/>
  <c r="B107" i="6"/>
  <c r="C106" i="6"/>
  <c r="B106" i="6"/>
  <c r="C105" i="6"/>
  <c r="B105" i="6"/>
  <c r="C104" i="6"/>
  <c r="B104" i="6"/>
  <c r="C103" i="6"/>
  <c r="B103" i="6"/>
  <c r="C102" i="6"/>
  <c r="B102" i="6"/>
  <c r="C101" i="6"/>
  <c r="B101" i="6"/>
  <c r="C100" i="6"/>
  <c r="B100" i="6"/>
  <c r="C99" i="6"/>
  <c r="B99" i="6"/>
  <c r="C98" i="6"/>
  <c r="B98" i="6"/>
  <c r="C97" i="6"/>
  <c r="B97" i="6"/>
  <c r="C96" i="6"/>
  <c r="B96" i="6"/>
  <c r="C95" i="6"/>
  <c r="B95" i="6"/>
  <c r="C94" i="6"/>
  <c r="B94" i="6"/>
  <c r="C93" i="6"/>
  <c r="B93" i="6"/>
  <c r="C92" i="6"/>
  <c r="B92" i="6"/>
  <c r="C91" i="6"/>
  <c r="B91" i="6"/>
  <c r="C90" i="6"/>
  <c r="B90" i="6"/>
  <c r="C89" i="6"/>
  <c r="B89" i="6"/>
  <c r="C88" i="6"/>
  <c r="B88" i="6"/>
  <c r="C87" i="6"/>
  <c r="B87" i="6"/>
  <c r="C86" i="6"/>
  <c r="B86" i="6"/>
  <c r="C85" i="6"/>
  <c r="B85" i="6"/>
  <c r="C84" i="6"/>
  <c r="B84" i="6"/>
  <c r="C83" i="6"/>
  <c r="B83" i="6"/>
  <c r="C82" i="6"/>
  <c r="B82" i="6"/>
  <c r="C81" i="6"/>
  <c r="B81" i="6"/>
  <c r="C80" i="6"/>
  <c r="B80" i="6"/>
  <c r="C79" i="6"/>
  <c r="B79" i="6"/>
  <c r="C78" i="6"/>
  <c r="B78" i="6"/>
  <c r="C77" i="6"/>
  <c r="B77" i="6"/>
  <c r="C76" i="6"/>
  <c r="B76" i="6"/>
  <c r="C75" i="6"/>
  <c r="B75" i="6"/>
  <c r="C74" i="6"/>
  <c r="B74" i="6"/>
  <c r="C73" i="6"/>
  <c r="B73" i="6"/>
  <c r="C72" i="6"/>
  <c r="B72" i="6"/>
  <c r="C71" i="6"/>
  <c r="B71" i="6"/>
  <c r="C70" i="6"/>
  <c r="B70" i="6"/>
  <c r="C69" i="6"/>
  <c r="B69" i="6"/>
  <c r="C68" i="6"/>
  <c r="B68" i="6"/>
  <c r="C67" i="6"/>
  <c r="B67" i="6"/>
  <c r="C66" i="6"/>
  <c r="B66" i="6"/>
  <c r="C65" i="6"/>
  <c r="B65" i="6"/>
  <c r="C64" i="6"/>
  <c r="B64" i="6"/>
  <c r="C63" i="6"/>
  <c r="B63" i="6"/>
  <c r="C62" i="6"/>
  <c r="B62" i="6"/>
  <c r="C61" i="6"/>
  <c r="B61" i="6"/>
  <c r="C60" i="6"/>
  <c r="B60" i="6"/>
  <c r="C59" i="6"/>
  <c r="B59" i="6"/>
  <c r="C58" i="6"/>
  <c r="B58" i="6"/>
  <c r="C57" i="6"/>
  <c r="B57" i="6"/>
  <c r="C56" i="6"/>
  <c r="B56" i="6"/>
  <c r="C55" i="6"/>
  <c r="B55" i="6"/>
  <c r="C54" i="6"/>
  <c r="B54" i="6"/>
  <c r="C53" i="6"/>
  <c r="B53" i="6"/>
  <c r="C52" i="6"/>
  <c r="B52" i="6"/>
  <c r="C51" i="6"/>
  <c r="B51" i="6"/>
  <c r="C50" i="6"/>
  <c r="B50" i="6"/>
  <c r="C49" i="6"/>
  <c r="B49" i="6"/>
  <c r="C48" i="6"/>
  <c r="B48" i="6"/>
  <c r="C47" i="6"/>
  <c r="B47" i="6"/>
  <c r="C46" i="6"/>
  <c r="B46" i="6"/>
  <c r="C45" i="6"/>
  <c r="B45" i="6"/>
  <c r="C44" i="6"/>
  <c r="B44" i="6"/>
  <c r="C43" i="6"/>
  <c r="B43" i="6"/>
  <c r="C42" i="6"/>
  <c r="B42" i="6"/>
  <c r="C41" i="6"/>
  <c r="B41" i="6"/>
  <c r="C40" i="6"/>
  <c r="B40" i="6"/>
  <c r="C39" i="6"/>
  <c r="B39" i="6"/>
  <c r="C38" i="6"/>
  <c r="B38" i="6"/>
  <c r="C37" i="6"/>
  <c r="B37" i="6"/>
  <c r="C36" i="6"/>
  <c r="B36" i="6"/>
  <c r="C35" i="6"/>
  <c r="B35" i="6"/>
  <c r="C34" i="6"/>
  <c r="B34" i="6"/>
  <c r="C33" i="6"/>
  <c r="B33" i="6"/>
  <c r="C32" i="6"/>
  <c r="B32" i="6"/>
  <c r="C31" i="6"/>
  <c r="B31" i="6"/>
  <c r="C30" i="6"/>
  <c r="B30" i="6"/>
  <c r="C29" i="6"/>
  <c r="B29" i="6"/>
  <c r="C28" i="6"/>
  <c r="B28" i="6"/>
  <c r="C27" i="6"/>
  <c r="B27" i="6"/>
  <c r="C26" i="6"/>
  <c r="B26" i="6"/>
  <c r="C25" i="6"/>
  <c r="B25" i="6"/>
  <c r="C24" i="6"/>
  <c r="B24" i="6"/>
  <c r="C23" i="6"/>
  <c r="B23" i="6"/>
  <c r="C22" i="6"/>
  <c r="B22" i="6"/>
  <c r="C21" i="6"/>
  <c r="B21" i="6"/>
  <c r="C20" i="6"/>
  <c r="B20" i="6"/>
  <c r="C19" i="6"/>
  <c r="B19" i="6"/>
  <c r="C18" i="6"/>
  <c r="B18" i="6"/>
  <c r="C17" i="6"/>
  <c r="B17" i="6"/>
  <c r="C16" i="6"/>
  <c r="B16" i="6"/>
  <c r="C15" i="6"/>
  <c r="B15" i="6"/>
  <c r="C14" i="6"/>
  <c r="B14" i="6"/>
  <c r="C13" i="6"/>
  <c r="B13" i="6"/>
  <c r="C12" i="6"/>
  <c r="B12" i="6"/>
  <c r="C11" i="6"/>
  <c r="B11" i="6"/>
  <c r="C10" i="6"/>
  <c r="B10" i="6"/>
  <c r="C9" i="6"/>
  <c r="B9" i="6"/>
  <c r="C8" i="6"/>
  <c r="B8" i="6"/>
  <c r="C7" i="6"/>
  <c r="B7" i="6"/>
  <c r="C6" i="6"/>
  <c r="B6" i="6"/>
  <c r="C5" i="6"/>
  <c r="B5" i="6"/>
  <c r="C4" i="6"/>
  <c r="B4" i="6"/>
  <c r="E193" i="4"/>
  <c r="D193" i="4"/>
  <c r="E192" i="4"/>
  <c r="D192" i="4"/>
  <c r="E191" i="4"/>
  <c r="D191" i="4"/>
  <c r="E190" i="4"/>
  <c r="D190" i="4"/>
  <c r="E189" i="4"/>
  <c r="D189" i="4"/>
  <c r="E188" i="4"/>
  <c r="D188" i="4"/>
  <c r="E187" i="4"/>
  <c r="D187" i="4"/>
  <c r="E186" i="4"/>
  <c r="D186" i="4"/>
  <c r="E185" i="4"/>
  <c r="D185" i="4"/>
  <c r="E184" i="4"/>
  <c r="D184" i="4"/>
  <c r="E183" i="4"/>
  <c r="D183" i="4"/>
  <c r="E182" i="4"/>
  <c r="D182" i="4"/>
  <c r="E181" i="4"/>
  <c r="D181" i="4"/>
  <c r="E180" i="4"/>
  <c r="D180" i="4"/>
  <c r="E179" i="4"/>
  <c r="D179" i="4"/>
  <c r="E178" i="4"/>
  <c r="D178" i="4"/>
  <c r="E177" i="4"/>
  <c r="D177" i="4"/>
  <c r="E176" i="4"/>
  <c r="D176" i="4"/>
  <c r="E175" i="4"/>
  <c r="D175" i="4"/>
  <c r="E174" i="4"/>
  <c r="D174" i="4"/>
  <c r="E173" i="4"/>
  <c r="D173" i="4"/>
  <c r="E172" i="4"/>
  <c r="D172" i="4"/>
  <c r="E171" i="4"/>
  <c r="D171" i="4"/>
  <c r="E170" i="4"/>
  <c r="D170" i="4"/>
  <c r="E169" i="4"/>
  <c r="D169" i="4"/>
  <c r="E168" i="4"/>
  <c r="D168" i="4"/>
  <c r="E167" i="4"/>
  <c r="D167" i="4"/>
  <c r="E166" i="4"/>
  <c r="D166" i="4"/>
  <c r="E165" i="4"/>
  <c r="D165" i="4"/>
  <c r="E164" i="4"/>
  <c r="D164" i="4"/>
  <c r="E163" i="4"/>
  <c r="D163" i="4"/>
  <c r="E162" i="4"/>
  <c r="D162" i="4"/>
  <c r="E161" i="4"/>
  <c r="D161" i="4"/>
  <c r="E160" i="4"/>
  <c r="D160" i="4"/>
  <c r="E159" i="4"/>
  <c r="D159" i="4"/>
  <c r="E158" i="4"/>
  <c r="D158" i="4"/>
  <c r="E157" i="4"/>
  <c r="D157" i="4"/>
  <c r="E156" i="4"/>
  <c r="D156" i="4"/>
  <c r="E155" i="4"/>
  <c r="D155" i="4"/>
  <c r="E154" i="4"/>
  <c r="D154" i="4"/>
  <c r="E153" i="4"/>
  <c r="D153" i="4"/>
  <c r="E152" i="4"/>
  <c r="D152" i="4"/>
  <c r="E151" i="4"/>
  <c r="D151" i="4"/>
  <c r="E150" i="4"/>
  <c r="D150" i="4"/>
  <c r="E149" i="4"/>
  <c r="D149" i="4"/>
  <c r="E148" i="4"/>
  <c r="D148" i="4"/>
  <c r="E147" i="4"/>
  <c r="D147" i="4"/>
  <c r="E146" i="4"/>
  <c r="D146" i="4"/>
  <c r="E145" i="4"/>
  <c r="D145" i="4"/>
  <c r="E144" i="4"/>
  <c r="D144" i="4"/>
  <c r="E143" i="4"/>
  <c r="D143" i="4"/>
  <c r="E142" i="4"/>
  <c r="D142" i="4"/>
  <c r="E141" i="4"/>
  <c r="D141" i="4"/>
  <c r="E140" i="4"/>
  <c r="D140" i="4"/>
  <c r="E139" i="4"/>
  <c r="D139" i="4"/>
  <c r="E138" i="4"/>
  <c r="D138" i="4"/>
  <c r="E137" i="4"/>
  <c r="D137" i="4"/>
  <c r="E136" i="4"/>
  <c r="D136" i="4"/>
  <c r="E135" i="4"/>
  <c r="D135" i="4"/>
  <c r="E134" i="4"/>
  <c r="D134" i="4"/>
  <c r="E133" i="4"/>
  <c r="D133" i="4"/>
  <c r="E132" i="4"/>
  <c r="D132" i="4"/>
  <c r="E131" i="4"/>
  <c r="D131" i="4"/>
  <c r="E130" i="4"/>
  <c r="D130" i="4"/>
  <c r="E129" i="4"/>
  <c r="D129" i="4"/>
  <c r="E128" i="4"/>
  <c r="D128" i="4"/>
  <c r="E127" i="4"/>
  <c r="D127" i="4"/>
  <c r="E126" i="4"/>
  <c r="D126" i="4"/>
  <c r="E125" i="4"/>
  <c r="D125" i="4"/>
  <c r="E124" i="4"/>
  <c r="D124" i="4"/>
  <c r="E123" i="4"/>
  <c r="D123" i="4"/>
  <c r="E122" i="4"/>
  <c r="D122" i="4"/>
  <c r="E121" i="4"/>
  <c r="D121" i="4"/>
  <c r="E120" i="4"/>
  <c r="D120" i="4"/>
  <c r="E119" i="4"/>
  <c r="D119" i="4"/>
  <c r="E118" i="4"/>
  <c r="D118" i="4"/>
  <c r="E117" i="4"/>
  <c r="D117" i="4"/>
  <c r="E116" i="4"/>
  <c r="D116" i="4"/>
  <c r="E115" i="4"/>
  <c r="D115" i="4"/>
  <c r="E114" i="4"/>
  <c r="D114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E106" i="4"/>
  <c r="D106" i="4"/>
  <c r="E105" i="4"/>
  <c r="D105" i="4"/>
  <c r="E104" i="4"/>
  <c r="D104" i="4"/>
  <c r="E103" i="4"/>
  <c r="D103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E95" i="4"/>
  <c r="D95" i="4"/>
  <c r="E94" i="4"/>
  <c r="D94" i="4"/>
  <c r="E93" i="4"/>
  <c r="D93" i="4"/>
  <c r="E92" i="4"/>
  <c r="D92" i="4"/>
  <c r="E91" i="4"/>
  <c r="D91" i="4"/>
  <c r="E90" i="4"/>
  <c r="D90" i="4"/>
  <c r="E89" i="4"/>
  <c r="D89" i="4"/>
  <c r="E88" i="4"/>
  <c r="D88" i="4"/>
  <c r="E87" i="4"/>
  <c r="D87" i="4"/>
  <c r="E86" i="4"/>
  <c r="D86" i="4"/>
  <c r="E85" i="4"/>
  <c r="D85" i="4"/>
  <c r="E84" i="4"/>
  <c r="D84" i="4"/>
  <c r="E83" i="4"/>
  <c r="D83" i="4"/>
  <c r="E82" i="4"/>
  <c r="D82" i="4"/>
  <c r="E81" i="4"/>
  <c r="D81" i="4"/>
  <c r="E80" i="4"/>
  <c r="D80" i="4"/>
  <c r="E79" i="4"/>
  <c r="D79" i="4"/>
  <c r="E78" i="4"/>
  <c r="D78" i="4"/>
  <c r="E77" i="4"/>
  <c r="D77" i="4"/>
  <c r="E76" i="4"/>
  <c r="D76" i="4"/>
  <c r="E75" i="4"/>
  <c r="D75" i="4"/>
  <c r="E74" i="4"/>
  <c r="D74" i="4"/>
  <c r="E73" i="4"/>
  <c r="D73" i="4"/>
  <c r="E72" i="4"/>
  <c r="D72" i="4"/>
  <c r="E71" i="4"/>
  <c r="D71" i="4"/>
  <c r="E70" i="4"/>
  <c r="D70" i="4"/>
  <c r="E69" i="4"/>
  <c r="D69" i="4"/>
  <c r="E68" i="4"/>
  <c r="D68" i="4"/>
  <c r="E67" i="4"/>
  <c r="D67" i="4"/>
  <c r="E66" i="4"/>
  <c r="D66" i="4"/>
  <c r="E65" i="4"/>
  <c r="D65" i="4"/>
  <c r="E64" i="4"/>
  <c r="D64" i="4"/>
  <c r="E63" i="4"/>
  <c r="D63" i="4"/>
  <c r="E62" i="4"/>
  <c r="D62" i="4"/>
  <c r="E61" i="4"/>
  <c r="D61" i="4"/>
  <c r="E60" i="4"/>
  <c r="D60" i="4"/>
  <c r="E59" i="4"/>
  <c r="D59" i="4"/>
  <c r="E58" i="4"/>
  <c r="D58" i="4"/>
  <c r="E57" i="4"/>
  <c r="D57" i="4"/>
  <c r="E56" i="4"/>
  <c r="D56" i="4"/>
  <c r="E55" i="4"/>
  <c r="D55" i="4"/>
  <c r="E54" i="4"/>
  <c r="D54" i="4"/>
  <c r="E53" i="4"/>
  <c r="D53" i="4"/>
  <c r="E52" i="4"/>
  <c r="D52" i="4"/>
  <c r="E51" i="4"/>
  <c r="D51" i="4"/>
  <c r="E50" i="4"/>
  <c r="D50" i="4"/>
  <c r="E49" i="4"/>
  <c r="D49" i="4"/>
  <c r="E48" i="4"/>
  <c r="D48" i="4"/>
  <c r="E47" i="4"/>
  <c r="D47" i="4"/>
  <c r="E46" i="4"/>
  <c r="D46" i="4"/>
  <c r="E45" i="4"/>
  <c r="D45" i="4"/>
  <c r="E44" i="4"/>
  <c r="D44" i="4"/>
  <c r="E43" i="4"/>
  <c r="D43" i="4"/>
  <c r="E42" i="4"/>
  <c r="D42" i="4"/>
  <c r="E41" i="4"/>
  <c r="D41" i="4"/>
  <c r="E40" i="4"/>
  <c r="D40" i="4"/>
  <c r="E39" i="4"/>
  <c r="D39" i="4"/>
  <c r="E38" i="4"/>
  <c r="D38" i="4"/>
  <c r="E37" i="4"/>
  <c r="D37" i="4"/>
  <c r="E36" i="4"/>
  <c r="D36" i="4"/>
  <c r="E35" i="4"/>
  <c r="D35" i="4"/>
  <c r="E34" i="4"/>
  <c r="D34" i="4"/>
  <c r="E33" i="4"/>
  <c r="D33" i="4"/>
  <c r="E32" i="4"/>
  <c r="D32" i="4"/>
  <c r="E31" i="4"/>
  <c r="D31" i="4"/>
  <c r="E30" i="4"/>
  <c r="D30" i="4"/>
  <c r="E29" i="4"/>
  <c r="D29" i="4"/>
  <c r="E28" i="4"/>
  <c r="D28" i="4"/>
  <c r="E27" i="4"/>
  <c r="D27" i="4"/>
  <c r="E26" i="4"/>
  <c r="D26" i="4"/>
  <c r="E25" i="4"/>
  <c r="D25" i="4"/>
  <c r="E24" i="4"/>
  <c r="D24" i="4"/>
  <c r="E23" i="4"/>
  <c r="D23" i="4"/>
  <c r="E22" i="4"/>
  <c r="D22" i="4"/>
  <c r="E21" i="4"/>
  <c r="D21" i="4"/>
  <c r="E20" i="4"/>
  <c r="D20" i="4"/>
  <c r="E19" i="4"/>
  <c r="D19" i="4"/>
  <c r="E18" i="4"/>
  <c r="D18" i="4"/>
  <c r="E17" i="4"/>
  <c r="D17" i="4"/>
  <c r="E16" i="4"/>
  <c r="D16" i="4"/>
  <c r="E15" i="4"/>
  <c r="D15" i="4"/>
  <c r="E14" i="4"/>
  <c r="D14" i="4"/>
  <c r="E13" i="4"/>
  <c r="D13" i="4"/>
  <c r="E12" i="4"/>
  <c r="D12" i="4"/>
  <c r="E11" i="4"/>
  <c r="D11" i="4"/>
  <c r="E10" i="4"/>
  <c r="D10" i="4"/>
  <c r="E9" i="4"/>
  <c r="D9" i="4"/>
  <c r="E8" i="4"/>
  <c r="D8" i="4"/>
  <c r="E7" i="4"/>
  <c r="D7" i="4"/>
  <c r="E6" i="4"/>
  <c r="D6" i="4"/>
  <c r="E5" i="4"/>
  <c r="D5" i="4"/>
  <c r="I4" i="4"/>
  <c r="E4" i="4"/>
  <c r="D4" i="4"/>
  <c r="F92" i="14" l="1"/>
  <c r="F104" i="14"/>
  <c r="F88" i="14"/>
  <c r="H88" i="14" s="1"/>
  <c r="F116" i="14"/>
  <c r="H116" i="14" s="1"/>
  <c r="F44" i="14"/>
  <c r="H44" i="14" s="1"/>
  <c r="F68" i="14"/>
  <c r="H68" i="14" s="1"/>
  <c r="K19" i="9"/>
  <c r="L19" i="9" s="1"/>
  <c r="G20" i="14" s="1"/>
  <c r="H20" i="14" s="1"/>
  <c r="F80" i="14"/>
  <c r="H80" i="14" s="1"/>
  <c r="F111" i="14"/>
  <c r="H111" i="14" s="1"/>
  <c r="F63" i="14"/>
  <c r="H63" i="14" s="1"/>
  <c r="F87" i="14"/>
  <c r="H87" i="14" s="1"/>
  <c r="V191" i="14"/>
  <c r="X191" i="14" s="1"/>
  <c r="F21" i="14"/>
  <c r="H21" i="14" s="1"/>
  <c r="F117" i="14"/>
  <c r="H117" i="14" s="1"/>
  <c r="F57" i="14"/>
  <c r="H57" i="14" s="1"/>
  <c r="V111" i="14"/>
  <c r="X111" i="14" s="1"/>
  <c r="V113" i="14"/>
  <c r="X113" i="14" s="1"/>
  <c r="V195" i="14"/>
  <c r="X195" i="14" s="1"/>
  <c r="F199" i="14"/>
  <c r="H199" i="14" s="1"/>
  <c r="K18" i="9"/>
  <c r="L18" i="9" s="1"/>
  <c r="G19" i="14" s="1"/>
  <c r="H19" i="14" s="1"/>
  <c r="K90" i="9"/>
  <c r="L90" i="9" s="1"/>
  <c r="G91" i="14" s="1"/>
  <c r="H91" i="14" s="1"/>
  <c r="F67" i="14"/>
  <c r="H67" i="14" s="1"/>
  <c r="F115" i="14"/>
  <c r="H115" i="14" s="1"/>
  <c r="F79" i="14"/>
  <c r="H79" i="14" s="1"/>
  <c r="K126" i="9"/>
  <c r="L126" i="9" s="1"/>
  <c r="G127" i="14" s="1"/>
  <c r="H127" i="14" s="1"/>
  <c r="F151" i="14"/>
  <c r="H151" i="14" s="1"/>
  <c r="F175" i="14"/>
  <c r="H175" i="14" s="1"/>
  <c r="F187" i="14"/>
  <c r="H187" i="14" s="1"/>
  <c r="F93" i="14"/>
  <c r="H93" i="14" s="1"/>
  <c r="F51" i="14"/>
  <c r="H51" i="14" s="1"/>
  <c r="F99" i="14"/>
  <c r="H99" i="14" s="1"/>
  <c r="F172" i="14"/>
  <c r="H172" i="14" s="1"/>
  <c r="K38" i="9"/>
  <c r="L38" i="9" s="1"/>
  <c r="G39" i="14" s="1"/>
  <c r="H39" i="14" s="1"/>
  <c r="K16" i="9"/>
  <c r="L16" i="9" s="1"/>
  <c r="G17" i="14" s="1"/>
  <c r="H17" i="14" s="1"/>
  <c r="F147" i="14"/>
  <c r="H147" i="14" s="1"/>
  <c r="V135" i="14"/>
  <c r="X135" i="14" s="1"/>
  <c r="V119" i="14"/>
  <c r="X119" i="14" s="1"/>
  <c r="V201" i="14"/>
  <c r="X201" i="14" s="1"/>
  <c r="V127" i="14"/>
  <c r="X127" i="14" s="1"/>
  <c r="V129" i="14"/>
  <c r="X129" i="14" s="1"/>
  <c r="V130" i="14"/>
  <c r="X130" i="14" s="1"/>
  <c r="V131" i="14"/>
  <c r="X131" i="14" s="1"/>
  <c r="V53" i="14"/>
  <c r="X53" i="14" s="1"/>
  <c r="V132" i="14"/>
  <c r="X132" i="14" s="1"/>
  <c r="V134" i="14"/>
  <c r="X134" i="14" s="1"/>
  <c r="AA137" i="9"/>
  <c r="AB137" i="9" s="1"/>
  <c r="W138" i="14" s="1"/>
  <c r="X138" i="14" s="1"/>
  <c r="V136" i="14"/>
  <c r="X136" i="14" s="1"/>
  <c r="V87" i="14"/>
  <c r="X87" i="14" s="1"/>
  <c r="V90" i="14"/>
  <c r="X90" i="14" s="1"/>
  <c r="K29" i="9"/>
  <c r="L29" i="9" s="1"/>
  <c r="G30" i="14" s="1"/>
  <c r="H30" i="14" s="1"/>
  <c r="F54" i="14"/>
  <c r="H54" i="14" s="1"/>
  <c r="F150" i="14"/>
  <c r="H150" i="14" s="1"/>
  <c r="K41" i="9"/>
  <c r="L41" i="9" s="1"/>
  <c r="G42" i="14" s="1"/>
  <c r="H42" i="14" s="1"/>
  <c r="F66" i="14"/>
  <c r="H66" i="14" s="1"/>
  <c r="F102" i="14"/>
  <c r="H102" i="14" s="1"/>
  <c r="F114" i="14"/>
  <c r="H114" i="14" s="1"/>
  <c r="K75" i="9"/>
  <c r="L75" i="9" s="1"/>
  <c r="G76" i="14" s="1"/>
  <c r="H76" i="14" s="1"/>
  <c r="F136" i="14"/>
  <c r="H136" i="14" s="1"/>
  <c r="F196" i="14"/>
  <c r="H196" i="14" s="1"/>
  <c r="F124" i="14"/>
  <c r="H124" i="14" s="1"/>
  <c r="F100" i="14"/>
  <c r="H100" i="14" s="1"/>
  <c r="F148" i="14"/>
  <c r="H148" i="14" s="1"/>
  <c r="F126" i="14"/>
  <c r="H126" i="14" s="1"/>
  <c r="F177" i="14"/>
  <c r="H177" i="14" s="1"/>
  <c r="R195" i="14"/>
  <c r="T195" i="14" s="1"/>
  <c r="F174" i="14"/>
  <c r="H174" i="14" s="1"/>
  <c r="F153" i="14"/>
  <c r="H153" i="14" s="1"/>
  <c r="K200" i="9"/>
  <c r="L200" i="9" s="1"/>
  <c r="G201" i="14" s="1"/>
  <c r="H201" i="14" s="1"/>
  <c r="F33" i="14"/>
  <c r="H33" i="14" s="1"/>
  <c r="K80" i="9"/>
  <c r="L80" i="9" s="1"/>
  <c r="G81" i="14" s="1"/>
  <c r="H81" i="14" s="1"/>
  <c r="F105" i="14"/>
  <c r="H105" i="14" s="1"/>
  <c r="V202" i="14"/>
  <c r="X202" i="14" s="1"/>
  <c r="V126" i="14"/>
  <c r="X126" i="14" s="1"/>
  <c r="F32" i="14"/>
  <c r="H32" i="14" s="1"/>
  <c r="F164" i="14"/>
  <c r="H164" i="14" s="1"/>
  <c r="F200" i="14"/>
  <c r="H200" i="14" s="1"/>
  <c r="F140" i="14"/>
  <c r="H140" i="14" s="1"/>
  <c r="F188" i="14"/>
  <c r="H188" i="14" s="1"/>
  <c r="F128" i="14"/>
  <c r="H128" i="14" s="1"/>
  <c r="F56" i="14"/>
  <c r="H56" i="14" s="1"/>
  <c r="V118" i="14"/>
  <c r="X118" i="14" s="1"/>
  <c r="V133" i="14"/>
  <c r="X133" i="14" s="1"/>
  <c r="F162" i="14"/>
  <c r="H162" i="14" s="1"/>
  <c r="F113" i="14"/>
  <c r="H113" i="14" s="1"/>
  <c r="K40" i="9"/>
  <c r="L40" i="9" s="1"/>
  <c r="G41" i="14" s="1"/>
  <c r="H41" i="14" s="1"/>
  <c r="F161" i="14"/>
  <c r="H161" i="14" s="1"/>
  <c r="F125" i="14"/>
  <c r="H125" i="14" s="1"/>
  <c r="V71" i="14"/>
  <c r="X71" i="14" s="1"/>
  <c r="B166" i="14"/>
  <c r="D166" i="14" s="1"/>
  <c r="F165" i="14"/>
  <c r="H165" i="14" s="1"/>
  <c r="K52" i="9"/>
  <c r="L52" i="9" s="1"/>
  <c r="G53" i="14" s="1"/>
  <c r="H53" i="14" s="1"/>
  <c r="F77" i="14"/>
  <c r="H77" i="14" s="1"/>
  <c r="F185" i="14"/>
  <c r="H185" i="14" s="1"/>
  <c r="F101" i="14"/>
  <c r="H101" i="14" s="1"/>
  <c r="V86" i="14"/>
  <c r="X86" i="14" s="1"/>
  <c r="V37" i="14"/>
  <c r="X37" i="14" s="1"/>
  <c r="F118" i="14"/>
  <c r="H118" i="14" s="1"/>
  <c r="F182" i="14"/>
  <c r="H182" i="14" s="1"/>
  <c r="F106" i="14"/>
  <c r="H106" i="14" s="1"/>
  <c r="F122" i="14"/>
  <c r="H122" i="14" s="1"/>
  <c r="F186" i="14"/>
  <c r="H186" i="14" s="1"/>
  <c r="V139" i="14"/>
  <c r="X139" i="14" s="1"/>
  <c r="V101" i="14"/>
  <c r="X101" i="14" s="1"/>
  <c r="V41" i="14"/>
  <c r="X41" i="14" s="1"/>
  <c r="V159" i="14"/>
  <c r="X159" i="14" s="1"/>
  <c r="V161" i="14"/>
  <c r="X161" i="14" s="1"/>
  <c r="V164" i="14"/>
  <c r="X164" i="14" s="1"/>
  <c r="V153" i="14"/>
  <c r="X153" i="14" s="1"/>
  <c r="V169" i="14"/>
  <c r="X169" i="14" s="1"/>
  <c r="V157" i="14"/>
  <c r="X157" i="14" s="1"/>
  <c r="V171" i="14"/>
  <c r="X171" i="14" s="1"/>
  <c r="V173" i="14"/>
  <c r="X173" i="14" s="1"/>
  <c r="V143" i="14"/>
  <c r="X143" i="14" s="1"/>
  <c r="V59" i="14"/>
  <c r="X59" i="14" s="1"/>
  <c r="V163" i="14"/>
  <c r="X163" i="14" s="1"/>
  <c r="V149" i="14"/>
  <c r="X149" i="14" s="1"/>
  <c r="V151" i="14"/>
  <c r="X151" i="14" s="1"/>
  <c r="V167" i="14"/>
  <c r="X167" i="14" s="1"/>
  <c r="V174" i="14"/>
  <c r="X174" i="14" s="1"/>
  <c r="AA175" i="9"/>
  <c r="AB175" i="9" s="1"/>
  <c r="W176" i="14" s="1"/>
  <c r="X176" i="14" s="1"/>
  <c r="V154" i="14"/>
  <c r="X154" i="14" s="1"/>
  <c r="V66" i="14"/>
  <c r="X66" i="14" s="1"/>
  <c r="V141" i="14"/>
  <c r="X141" i="14" s="1"/>
  <c r="V166" i="14"/>
  <c r="X166" i="14" s="1"/>
  <c r="V104" i="14"/>
  <c r="X104" i="14" s="1"/>
  <c r="V158" i="14"/>
  <c r="X158" i="14" s="1"/>
  <c r="V48" i="14"/>
  <c r="X48" i="14" s="1"/>
  <c r="V88" i="14"/>
  <c r="X88" i="14" s="1"/>
  <c r="V146" i="14"/>
  <c r="X146" i="14" s="1"/>
  <c r="V168" i="14"/>
  <c r="X168" i="14" s="1"/>
  <c r="V170" i="14"/>
  <c r="X170" i="14" s="1"/>
  <c r="V77" i="14"/>
  <c r="X77" i="14" s="1"/>
  <c r="V162" i="14"/>
  <c r="X162" i="14" s="1"/>
  <c r="V172" i="14"/>
  <c r="X172" i="14" s="1"/>
  <c r="R187" i="14"/>
  <c r="T187" i="14" s="1"/>
  <c r="F198" i="14"/>
  <c r="H198" i="14" s="1"/>
  <c r="F94" i="14"/>
  <c r="H94" i="14" s="1"/>
  <c r="F130" i="14"/>
  <c r="H130" i="14" s="1"/>
  <c r="F70" i="14"/>
  <c r="H70" i="14" s="1"/>
  <c r="F142" i="14"/>
  <c r="H142" i="14" s="1"/>
  <c r="V115" i="14"/>
  <c r="X115" i="14" s="1"/>
  <c r="V68" i="14"/>
  <c r="X68" i="14" s="1"/>
  <c r="V110" i="14"/>
  <c r="X110" i="14" s="1"/>
  <c r="V144" i="14"/>
  <c r="X144" i="14" s="1"/>
  <c r="N107" i="14"/>
  <c r="P107" i="14" s="1"/>
  <c r="B194" i="14"/>
  <c r="D194" i="14" s="1"/>
  <c r="V187" i="14"/>
  <c r="X187" i="14" s="1"/>
  <c r="V46" i="14"/>
  <c r="X46" i="14" s="1"/>
  <c r="V189" i="14"/>
  <c r="X189" i="14" s="1"/>
  <c r="V177" i="14"/>
  <c r="X177" i="14" s="1"/>
  <c r="V193" i="14"/>
  <c r="X193" i="14" s="1"/>
  <c r="V103" i="14"/>
  <c r="X103" i="14" s="1"/>
  <c r="V183" i="14"/>
  <c r="X183" i="14" s="1"/>
  <c r="V185" i="14"/>
  <c r="X185" i="14" s="1"/>
  <c r="V105" i="14"/>
  <c r="X105" i="14" s="1"/>
  <c r="V128" i="14"/>
  <c r="X128" i="14" s="1"/>
  <c r="V197" i="14"/>
  <c r="X197" i="14" s="1"/>
  <c r="V60" i="14"/>
  <c r="X60" i="14" s="1"/>
  <c r="B197" i="14"/>
  <c r="D197" i="14" s="1"/>
  <c r="V100" i="14"/>
  <c r="X100" i="14" s="1"/>
  <c r="V184" i="14"/>
  <c r="X184" i="14" s="1"/>
  <c r="V15" i="14"/>
  <c r="X15" i="14" s="1"/>
  <c r="V38" i="14"/>
  <c r="X38" i="14" s="1"/>
  <c r="V16" i="14"/>
  <c r="X16" i="14" s="1"/>
  <c r="V72" i="14"/>
  <c r="X72" i="14" s="1"/>
  <c r="V142" i="14"/>
  <c r="X142" i="14" s="1"/>
  <c r="V125" i="14"/>
  <c r="X125" i="14" s="1"/>
  <c r="V196" i="14"/>
  <c r="X196" i="14" s="1"/>
  <c r="V116" i="14"/>
  <c r="X116" i="14" s="1"/>
  <c r="V179" i="14"/>
  <c r="X179" i="14" s="1"/>
  <c r="V29" i="14"/>
  <c r="X29" i="14" s="1"/>
  <c r="V80" i="14"/>
  <c r="X80" i="14" s="1"/>
  <c r="V106" i="14"/>
  <c r="X106" i="14" s="1"/>
  <c r="V148" i="14"/>
  <c r="X148" i="14" s="1"/>
  <c r="V180" i="14"/>
  <c r="X180" i="14" s="1"/>
  <c r="V63" i="14"/>
  <c r="X63" i="14" s="1"/>
  <c r="V181" i="14"/>
  <c r="X181" i="14" s="1"/>
  <c r="V200" i="14"/>
  <c r="X200" i="14" s="1"/>
  <c r="N198" i="14"/>
  <c r="P198" i="14" s="1"/>
  <c r="F183" i="14"/>
  <c r="H183" i="14" s="1"/>
  <c r="B199" i="14"/>
  <c r="D199" i="14" s="1"/>
  <c r="B201" i="14"/>
  <c r="D201" i="14" s="1"/>
  <c r="F155" i="14"/>
  <c r="H155" i="14" s="1"/>
  <c r="J200" i="14"/>
  <c r="L200" i="14" s="1"/>
  <c r="B188" i="14"/>
  <c r="D188" i="14" s="1"/>
  <c r="B142" i="14"/>
  <c r="D142" i="14" s="1"/>
  <c r="B152" i="14"/>
  <c r="D152" i="14" s="1"/>
  <c r="B117" i="14"/>
  <c r="D117" i="14" s="1"/>
  <c r="B174" i="14"/>
  <c r="D174" i="14" s="1"/>
  <c r="V74" i="14"/>
  <c r="X74" i="14" s="1"/>
  <c r="V121" i="14"/>
  <c r="X121" i="14" s="1"/>
  <c r="V160" i="14"/>
  <c r="X160" i="14" s="1"/>
  <c r="V75" i="14"/>
  <c r="X75" i="14" s="1"/>
  <c r="V140" i="14"/>
  <c r="X140" i="14" s="1"/>
  <c r="V186" i="14"/>
  <c r="X186" i="14" s="1"/>
  <c r="V20" i="14"/>
  <c r="X20" i="14" s="1"/>
  <c r="V178" i="14"/>
  <c r="X178" i="14" s="1"/>
  <c r="B138" i="14"/>
  <c r="D138" i="14" s="1"/>
  <c r="K34" i="9"/>
  <c r="L34" i="9" s="1"/>
  <c r="G35" i="14" s="1"/>
  <c r="H35" i="14" s="1"/>
  <c r="F131" i="14"/>
  <c r="H131" i="14" s="1"/>
  <c r="B15" i="14"/>
  <c r="D15" i="14" s="1"/>
  <c r="R111" i="14"/>
  <c r="T111" i="14" s="1"/>
  <c r="R137" i="14"/>
  <c r="T137" i="14" s="1"/>
  <c r="B102" i="14"/>
  <c r="D102" i="14" s="1"/>
  <c r="B140" i="14"/>
  <c r="D140" i="14" s="1"/>
  <c r="B160" i="14"/>
  <c r="D160" i="14" s="1"/>
  <c r="N197" i="14"/>
  <c r="P197" i="14" s="1"/>
  <c r="B116" i="14"/>
  <c r="D116" i="14" s="1"/>
  <c r="V49" i="14"/>
  <c r="X49" i="14" s="1"/>
  <c r="V50" i="14"/>
  <c r="X50" i="14" s="1"/>
  <c r="AA41" i="9"/>
  <c r="AB41" i="9" s="1"/>
  <c r="W42" i="14" s="1"/>
  <c r="X42" i="14" s="1"/>
  <c r="V51" i="14"/>
  <c r="X51" i="14" s="1"/>
  <c r="V22" i="14"/>
  <c r="X22" i="14" s="1"/>
  <c r="V24" i="14"/>
  <c r="X24" i="14" s="1"/>
  <c r="V26" i="14"/>
  <c r="X26" i="14" s="1"/>
  <c r="V81" i="14"/>
  <c r="X81" i="14" s="1"/>
  <c r="V123" i="14"/>
  <c r="X123" i="14" s="1"/>
  <c r="V155" i="14"/>
  <c r="X155" i="14" s="1"/>
  <c r="V83" i="14"/>
  <c r="X83" i="14" s="1"/>
  <c r="V156" i="14"/>
  <c r="X156" i="14" s="1"/>
  <c r="V182" i="14"/>
  <c r="X182" i="14" s="1"/>
  <c r="V45" i="14"/>
  <c r="X45" i="14" s="1"/>
  <c r="V58" i="14"/>
  <c r="X58" i="14" s="1"/>
  <c r="V85" i="14"/>
  <c r="X85" i="14" s="1"/>
  <c r="V99" i="14"/>
  <c r="X99" i="14" s="1"/>
  <c r="V188" i="14"/>
  <c r="X188" i="14" s="1"/>
  <c r="F173" i="14"/>
  <c r="H173" i="14" s="1"/>
  <c r="F197" i="14"/>
  <c r="H197" i="14" s="1"/>
  <c r="R99" i="14"/>
  <c r="T99" i="14" s="1"/>
  <c r="R166" i="14"/>
  <c r="T166" i="14" s="1"/>
  <c r="J199" i="14"/>
  <c r="L199" i="14" s="1"/>
  <c r="N199" i="14"/>
  <c r="P199" i="14" s="1"/>
  <c r="R156" i="14"/>
  <c r="T156" i="14" s="1"/>
  <c r="R170" i="14"/>
  <c r="T170" i="14" s="1"/>
  <c r="R188" i="14"/>
  <c r="T188" i="14" s="1"/>
  <c r="R186" i="14"/>
  <c r="T186" i="14" s="1"/>
  <c r="R194" i="14"/>
  <c r="T194" i="14" s="1"/>
  <c r="N155" i="14"/>
  <c r="P155" i="14" s="1"/>
  <c r="R178" i="14"/>
  <c r="T178" i="14" s="1"/>
  <c r="J191" i="14"/>
  <c r="L191" i="14" s="1"/>
  <c r="R125" i="14"/>
  <c r="T125" i="14" s="1"/>
  <c r="N87" i="14"/>
  <c r="P87" i="14" s="1"/>
  <c r="B101" i="14"/>
  <c r="D101" i="14" s="1"/>
  <c r="R108" i="14"/>
  <c r="T108" i="14" s="1"/>
  <c r="J113" i="14"/>
  <c r="L113" i="14" s="1"/>
  <c r="J198" i="14"/>
  <c r="L198" i="14" s="1"/>
  <c r="J134" i="14"/>
  <c r="L134" i="14" s="1"/>
  <c r="F195" i="14"/>
  <c r="H195" i="14" s="1"/>
  <c r="B171" i="14"/>
  <c r="D171" i="14" s="1"/>
  <c r="B17" i="14"/>
  <c r="D17" i="14" s="1"/>
  <c r="B105" i="14"/>
  <c r="D105" i="14" s="1"/>
  <c r="K46" i="9"/>
  <c r="L46" i="9" s="1"/>
  <c r="G47" i="14" s="1"/>
  <c r="H47" i="14" s="1"/>
  <c r="K82" i="9"/>
  <c r="L82" i="9" s="1"/>
  <c r="G83" i="14" s="1"/>
  <c r="H83" i="14" s="1"/>
  <c r="F191" i="14"/>
  <c r="H191" i="14" s="1"/>
  <c r="F179" i="14"/>
  <c r="H179" i="14" s="1"/>
  <c r="F119" i="14"/>
  <c r="H119" i="14" s="1"/>
  <c r="F167" i="14"/>
  <c r="H167" i="14" s="1"/>
  <c r="R120" i="14"/>
  <c r="T120" i="14" s="1"/>
  <c r="B76" i="14"/>
  <c r="D76" i="14" s="1"/>
  <c r="B72" i="14"/>
  <c r="D72" i="14" s="1"/>
  <c r="R63" i="14"/>
  <c r="T63" i="14" s="1"/>
  <c r="R28" i="14"/>
  <c r="T28" i="14" s="1"/>
  <c r="R51" i="14"/>
  <c r="T51" i="14" s="1"/>
  <c r="R149" i="14"/>
  <c r="T149" i="14" s="1"/>
  <c r="R201" i="14"/>
  <c r="T201" i="14" s="1"/>
  <c r="R144" i="14"/>
  <c r="T144" i="14" s="1"/>
  <c r="N134" i="14"/>
  <c r="P134" i="14" s="1"/>
  <c r="N163" i="14"/>
  <c r="P163" i="14" s="1"/>
  <c r="N186" i="14"/>
  <c r="P186" i="14" s="1"/>
  <c r="N194" i="14"/>
  <c r="P194" i="14" s="1"/>
  <c r="J174" i="14"/>
  <c r="L174" i="14" s="1"/>
  <c r="J194" i="14"/>
  <c r="L194" i="14" s="1"/>
  <c r="B190" i="14"/>
  <c r="D190" i="14" s="1"/>
  <c r="B93" i="14"/>
  <c r="D93" i="14" s="1"/>
  <c r="B180" i="14"/>
  <c r="D180" i="14" s="1"/>
  <c r="B106" i="14"/>
  <c r="D106" i="14" s="1"/>
  <c r="V13" i="14"/>
  <c r="X13" i="14" s="1"/>
  <c r="AA101" i="9"/>
  <c r="AB101" i="9" s="1"/>
  <c r="W102" i="14" s="1"/>
  <c r="X102" i="14" s="1"/>
  <c r="V44" i="14"/>
  <c r="X44" i="14" s="1"/>
  <c r="V109" i="14"/>
  <c r="X109" i="14" s="1"/>
  <c r="V18" i="14"/>
  <c r="X18" i="14" s="1"/>
  <c r="V98" i="14"/>
  <c r="X98" i="14" s="1"/>
  <c r="V55" i="14"/>
  <c r="X55" i="14" s="1"/>
  <c r="N174" i="14"/>
  <c r="P174" i="14" s="1"/>
  <c r="N152" i="14"/>
  <c r="P152" i="14" s="1"/>
  <c r="J170" i="14"/>
  <c r="L170" i="14" s="1"/>
  <c r="J168" i="14"/>
  <c r="L168" i="14" s="1"/>
  <c r="B31" i="14"/>
  <c r="D31" i="14" s="1"/>
  <c r="B59" i="14"/>
  <c r="D59" i="14" s="1"/>
  <c r="B167" i="14"/>
  <c r="D167" i="14" s="1"/>
  <c r="B36" i="14"/>
  <c r="D36" i="14" s="1"/>
  <c r="B45" i="14"/>
  <c r="D45" i="14" s="1"/>
  <c r="B124" i="14"/>
  <c r="D124" i="14" s="1"/>
  <c r="B38" i="14"/>
  <c r="D38" i="14" s="1"/>
  <c r="B165" i="14"/>
  <c r="D165" i="14" s="1"/>
  <c r="B153" i="14"/>
  <c r="D153" i="14" s="1"/>
  <c r="R113" i="14"/>
  <c r="T113" i="14" s="1"/>
  <c r="R154" i="14"/>
  <c r="T154" i="14" s="1"/>
  <c r="B94" i="14"/>
  <c r="D94" i="14" s="1"/>
  <c r="B87" i="14"/>
  <c r="D87" i="14" s="1"/>
  <c r="B196" i="14"/>
  <c r="D196" i="14" s="1"/>
  <c r="B129" i="14"/>
  <c r="D129" i="14" s="1"/>
  <c r="B69" i="14"/>
  <c r="D69" i="14" s="1"/>
  <c r="B200" i="14"/>
  <c r="D200" i="14" s="1"/>
  <c r="B53" i="14"/>
  <c r="D53" i="14" s="1"/>
  <c r="R13" i="14"/>
  <c r="T13" i="14" s="1"/>
  <c r="J181" i="14"/>
  <c r="L181" i="14" s="1"/>
  <c r="J106" i="14"/>
  <c r="L106" i="14" s="1"/>
  <c r="J154" i="14"/>
  <c r="L154" i="14" s="1"/>
  <c r="B23" i="14"/>
  <c r="D23" i="14" s="1"/>
  <c r="B156" i="14"/>
  <c r="D156" i="14" s="1"/>
  <c r="B168" i="14"/>
  <c r="D168" i="14" s="1"/>
  <c r="B154" i="14"/>
  <c r="D154" i="14" s="1"/>
  <c r="B32" i="14"/>
  <c r="D32" i="14" s="1"/>
  <c r="N15" i="14"/>
  <c r="P15" i="14" s="1"/>
  <c r="J97" i="14"/>
  <c r="L97" i="14" s="1"/>
  <c r="J172" i="14"/>
  <c r="L172" i="14" s="1"/>
  <c r="J151" i="14"/>
  <c r="L151" i="14" s="1"/>
  <c r="J152" i="14"/>
  <c r="L152" i="14" s="1"/>
  <c r="J92" i="14"/>
  <c r="L92" i="14" s="1"/>
  <c r="R45" i="14"/>
  <c r="T45" i="14" s="1"/>
  <c r="R52" i="14"/>
  <c r="T52" i="14" s="1"/>
  <c r="N80" i="14"/>
  <c r="P80" i="14" s="1"/>
  <c r="N128" i="14"/>
  <c r="P128" i="14" s="1"/>
  <c r="N141" i="14"/>
  <c r="P141" i="14" s="1"/>
  <c r="N116" i="14"/>
  <c r="P116" i="14" s="1"/>
  <c r="N170" i="14"/>
  <c r="P170" i="14" s="1"/>
  <c r="N176" i="14"/>
  <c r="P176" i="14" s="1"/>
  <c r="N162" i="14"/>
  <c r="P162" i="14" s="1"/>
  <c r="J178" i="14"/>
  <c r="L178" i="14" s="1"/>
  <c r="J185" i="14"/>
  <c r="L185" i="14" s="1"/>
  <c r="J195" i="14"/>
  <c r="L195" i="14" s="1"/>
  <c r="F178" i="14"/>
  <c r="H178" i="14" s="1"/>
  <c r="F202" i="14"/>
  <c r="H202" i="14" s="1"/>
  <c r="F190" i="14"/>
  <c r="H190" i="14" s="1"/>
  <c r="B56" i="14"/>
  <c r="D56" i="14" s="1"/>
  <c r="B79" i="14"/>
  <c r="D79" i="14" s="1"/>
  <c r="B126" i="14"/>
  <c r="D126" i="14" s="1"/>
  <c r="B202" i="14"/>
  <c r="D202" i="14" s="1"/>
  <c r="B115" i="14"/>
  <c r="D115" i="14" s="1"/>
  <c r="B141" i="14"/>
  <c r="D141" i="14" s="1"/>
  <c r="AA94" i="9"/>
  <c r="AB94" i="9" s="1"/>
  <c r="W95" i="14" s="1"/>
  <c r="X95" i="14" s="1"/>
  <c r="V21" i="14"/>
  <c r="X21" i="14" s="1"/>
  <c r="V122" i="14"/>
  <c r="X122" i="14" s="1"/>
  <c r="V124" i="14"/>
  <c r="X124" i="14" s="1"/>
  <c r="V79" i="14"/>
  <c r="X79" i="14" s="1"/>
  <c r="R159" i="14"/>
  <c r="T159" i="14" s="1"/>
  <c r="N184" i="14"/>
  <c r="P184" i="14" s="1"/>
  <c r="J37" i="14"/>
  <c r="L37" i="14" s="1"/>
  <c r="J189" i="14"/>
  <c r="L189" i="14" s="1"/>
  <c r="K145" i="9"/>
  <c r="L145" i="9" s="1"/>
  <c r="G146" i="14" s="1"/>
  <c r="H146" i="14" s="1"/>
  <c r="B44" i="14"/>
  <c r="D44" i="14" s="1"/>
  <c r="B181" i="14"/>
  <c r="D181" i="14" s="1"/>
  <c r="B88" i="14"/>
  <c r="D88" i="14" s="1"/>
  <c r="B150" i="14"/>
  <c r="D150" i="14" s="1"/>
  <c r="B179" i="14"/>
  <c r="D179" i="14" s="1"/>
  <c r="R196" i="14"/>
  <c r="T196" i="14" s="1"/>
  <c r="R97" i="14"/>
  <c r="T97" i="14" s="1"/>
  <c r="R23" i="14"/>
  <c r="T23" i="14" s="1"/>
  <c r="R200" i="14"/>
  <c r="T200" i="14" s="1"/>
  <c r="N153" i="14"/>
  <c r="P153" i="14" s="1"/>
  <c r="N89" i="14"/>
  <c r="P89" i="14" s="1"/>
  <c r="N142" i="14"/>
  <c r="P142" i="14" s="1"/>
  <c r="N26" i="14"/>
  <c r="P26" i="14" s="1"/>
  <c r="N121" i="14"/>
  <c r="P121" i="14" s="1"/>
  <c r="N192" i="14"/>
  <c r="P192" i="14" s="1"/>
  <c r="J136" i="14"/>
  <c r="L136" i="14" s="1"/>
  <c r="J45" i="14"/>
  <c r="L45" i="14" s="1"/>
  <c r="J70" i="14"/>
  <c r="L70" i="14" s="1"/>
  <c r="J179" i="14"/>
  <c r="L179" i="14" s="1"/>
  <c r="B71" i="14"/>
  <c r="D71" i="14" s="1"/>
  <c r="B164" i="14"/>
  <c r="D164" i="14" s="1"/>
  <c r="V30" i="14"/>
  <c r="X30" i="14" s="1"/>
  <c r="V192" i="14"/>
  <c r="X192" i="14" s="1"/>
  <c r="AA77" i="9"/>
  <c r="AB77" i="9" s="1"/>
  <c r="W78" i="14" s="1"/>
  <c r="X78" i="14" s="1"/>
  <c r="AA164" i="9"/>
  <c r="AB164" i="9" s="1"/>
  <c r="W165" i="14" s="1"/>
  <c r="X165" i="14" s="1"/>
  <c r="AA46" i="9"/>
  <c r="AB46" i="9" s="1"/>
  <c r="W47" i="14" s="1"/>
  <c r="X47" i="14" s="1"/>
  <c r="V52" i="14"/>
  <c r="X52" i="14" s="1"/>
  <c r="V137" i="14"/>
  <c r="X137" i="14" s="1"/>
  <c r="V17" i="14"/>
  <c r="X17" i="14" s="1"/>
  <c r="V32" i="14"/>
  <c r="X32" i="14" s="1"/>
  <c r="V40" i="14"/>
  <c r="X40" i="14" s="1"/>
  <c r="V62" i="14"/>
  <c r="X62" i="14" s="1"/>
  <c r="AA26" i="9"/>
  <c r="AB26" i="9" s="1"/>
  <c r="W27" i="14" s="1"/>
  <c r="X27" i="14" s="1"/>
  <c r="V34" i="14"/>
  <c r="X34" i="14" s="1"/>
  <c r="V150" i="14"/>
  <c r="X150" i="14" s="1"/>
  <c r="V194" i="14"/>
  <c r="X194" i="14" s="1"/>
  <c r="V190" i="14"/>
  <c r="X190" i="14" s="1"/>
  <c r="V28" i="14"/>
  <c r="X28" i="14" s="1"/>
  <c r="R85" i="14"/>
  <c r="T85" i="14" s="1"/>
  <c r="R179" i="14"/>
  <c r="T179" i="14" s="1"/>
  <c r="R167" i="14"/>
  <c r="T167" i="14" s="1"/>
  <c r="R58" i="14"/>
  <c r="T58" i="14" s="1"/>
  <c r="R117" i="14"/>
  <c r="T117" i="14" s="1"/>
  <c r="R59" i="14"/>
  <c r="T59" i="14" s="1"/>
  <c r="N158" i="14"/>
  <c r="P158" i="14" s="1"/>
  <c r="N177" i="14"/>
  <c r="P177" i="14" s="1"/>
  <c r="N35" i="14"/>
  <c r="P35" i="14" s="1"/>
  <c r="N110" i="14"/>
  <c r="P110" i="14" s="1"/>
  <c r="N119" i="14"/>
  <c r="P119" i="14" s="1"/>
  <c r="N136" i="14"/>
  <c r="P136" i="14" s="1"/>
  <c r="N37" i="14"/>
  <c r="P37" i="14" s="1"/>
  <c r="J167" i="14"/>
  <c r="L167" i="14" s="1"/>
  <c r="J86" i="14"/>
  <c r="L86" i="14" s="1"/>
  <c r="J169" i="14"/>
  <c r="L169" i="14" s="1"/>
  <c r="B50" i="14"/>
  <c r="D50" i="14" s="1"/>
  <c r="B85" i="14"/>
  <c r="D85" i="14" s="1"/>
  <c r="B66" i="14"/>
  <c r="D66" i="14" s="1"/>
  <c r="B135" i="14"/>
  <c r="D135" i="14" s="1"/>
  <c r="B14" i="14"/>
  <c r="D14" i="14" s="1"/>
  <c r="B35" i="14"/>
  <c r="D35" i="14" s="1"/>
  <c r="B73" i="14"/>
  <c r="D73" i="14" s="1"/>
  <c r="B131" i="14"/>
  <c r="D131" i="14" s="1"/>
  <c r="B30" i="14"/>
  <c r="D30" i="14" s="1"/>
  <c r="B48" i="14"/>
  <c r="D48" i="14" s="1"/>
  <c r="R26" i="14"/>
  <c r="T26" i="14" s="1"/>
  <c r="R38" i="14"/>
  <c r="T38" i="14" s="1"/>
  <c r="R65" i="14"/>
  <c r="T65" i="14" s="1"/>
  <c r="R46" i="14"/>
  <c r="T46" i="14" s="1"/>
  <c r="N183" i="14"/>
  <c r="P183" i="14" s="1"/>
  <c r="N73" i="14"/>
  <c r="P73" i="14" s="1"/>
  <c r="N49" i="14"/>
  <c r="P49" i="14" s="1"/>
  <c r="N74" i="14"/>
  <c r="P74" i="14" s="1"/>
  <c r="N120" i="14"/>
  <c r="P120" i="14" s="1"/>
  <c r="N71" i="14"/>
  <c r="P71" i="14" s="1"/>
  <c r="N16" i="14"/>
  <c r="P16" i="14" s="1"/>
  <c r="N122" i="14"/>
  <c r="P122" i="14" s="1"/>
  <c r="J21" i="14"/>
  <c r="L21" i="14" s="1"/>
  <c r="J129" i="14"/>
  <c r="L129" i="14" s="1"/>
  <c r="J83" i="14"/>
  <c r="L83" i="14" s="1"/>
  <c r="J122" i="14"/>
  <c r="L122" i="14" s="1"/>
  <c r="J85" i="14"/>
  <c r="L85" i="14" s="1"/>
  <c r="J90" i="14"/>
  <c r="L90" i="14" s="1"/>
  <c r="J133" i="14"/>
  <c r="L133" i="14" s="1"/>
  <c r="B128" i="14"/>
  <c r="D128" i="14" s="1"/>
  <c r="B119" i="14"/>
  <c r="D119" i="14" s="1"/>
  <c r="B139" i="14"/>
  <c r="D139" i="14" s="1"/>
  <c r="B191" i="14"/>
  <c r="D191" i="14" s="1"/>
  <c r="B176" i="14"/>
  <c r="D176" i="14" s="1"/>
  <c r="B70" i="14"/>
  <c r="D70" i="14" s="1"/>
  <c r="B89" i="14"/>
  <c r="D89" i="14" s="1"/>
  <c r="B114" i="14"/>
  <c r="D114" i="14" s="1"/>
  <c r="V19" i="14"/>
  <c r="X19" i="14" s="1"/>
  <c r="AA22" i="9"/>
  <c r="AB22" i="9" s="1"/>
  <c r="W23" i="14" s="1"/>
  <c r="X23" i="14" s="1"/>
  <c r="AA68" i="9"/>
  <c r="AB68" i="9" s="1"/>
  <c r="W69" i="14" s="1"/>
  <c r="X69" i="14" s="1"/>
  <c r="R64" i="14"/>
  <c r="T64" i="14" s="1"/>
  <c r="R76" i="14"/>
  <c r="T76" i="14" s="1"/>
  <c r="R184" i="14"/>
  <c r="T184" i="14" s="1"/>
  <c r="R124" i="14"/>
  <c r="T124" i="14" s="1"/>
  <c r="R91" i="14"/>
  <c r="T91" i="14" s="1"/>
  <c r="R153" i="14"/>
  <c r="T153" i="14" s="1"/>
  <c r="R162" i="14"/>
  <c r="T162" i="14" s="1"/>
  <c r="R182" i="14"/>
  <c r="T182" i="14" s="1"/>
  <c r="N138" i="14"/>
  <c r="P138" i="14" s="1"/>
  <c r="N117" i="14"/>
  <c r="P117" i="14" s="1"/>
  <c r="N202" i="14"/>
  <c r="P202" i="14" s="1"/>
  <c r="N178" i="14"/>
  <c r="P178" i="14" s="1"/>
  <c r="N131" i="14"/>
  <c r="P131" i="14" s="1"/>
  <c r="N151" i="14"/>
  <c r="P151" i="14" s="1"/>
  <c r="J54" i="14"/>
  <c r="L54" i="14" s="1"/>
  <c r="J105" i="14"/>
  <c r="L105" i="14" s="1"/>
  <c r="J186" i="14"/>
  <c r="L186" i="14" s="1"/>
  <c r="J175" i="14"/>
  <c r="L175" i="14" s="1"/>
  <c r="J116" i="14"/>
  <c r="L116" i="14" s="1"/>
  <c r="J197" i="14"/>
  <c r="L197" i="14" s="1"/>
  <c r="J155" i="14"/>
  <c r="L155" i="14" s="1"/>
  <c r="B146" i="14"/>
  <c r="D146" i="14" s="1"/>
  <c r="B186" i="14"/>
  <c r="D186" i="14" s="1"/>
  <c r="B155" i="14"/>
  <c r="D155" i="14" s="1"/>
  <c r="B16" i="14"/>
  <c r="D16" i="14" s="1"/>
  <c r="B78" i="14"/>
  <c r="D78" i="14" s="1"/>
  <c r="B173" i="14"/>
  <c r="D173" i="14" s="1"/>
  <c r="B111" i="14"/>
  <c r="D111" i="14" s="1"/>
  <c r="B195" i="14"/>
  <c r="D195" i="14" s="1"/>
  <c r="B51" i="14"/>
  <c r="D51" i="14" s="1"/>
  <c r="B123" i="14"/>
  <c r="D123" i="14" s="1"/>
  <c r="B144" i="14"/>
  <c r="D144" i="14" s="1"/>
  <c r="R20" i="14"/>
  <c r="T20" i="14" s="1"/>
  <c r="R106" i="14"/>
  <c r="T106" i="14" s="1"/>
  <c r="R145" i="14"/>
  <c r="T145" i="14" s="1"/>
  <c r="R32" i="14"/>
  <c r="T32" i="14" s="1"/>
  <c r="R129" i="14"/>
  <c r="T129" i="14" s="1"/>
  <c r="R172" i="14"/>
  <c r="T172" i="14" s="1"/>
  <c r="N191" i="14"/>
  <c r="P191" i="14" s="1"/>
  <c r="N160" i="14"/>
  <c r="P160" i="14" s="1"/>
  <c r="N189" i="14"/>
  <c r="P189" i="14" s="1"/>
  <c r="N25" i="14"/>
  <c r="P25" i="14" s="1"/>
  <c r="J36" i="14"/>
  <c r="L36" i="14" s="1"/>
  <c r="J94" i="14"/>
  <c r="L94" i="14" s="1"/>
  <c r="J111" i="14"/>
  <c r="L111" i="14" s="1"/>
  <c r="J149" i="14"/>
  <c r="L149" i="14" s="1"/>
  <c r="J107" i="14"/>
  <c r="L107" i="14" s="1"/>
  <c r="J137" i="14"/>
  <c r="L137" i="14" s="1"/>
  <c r="J145" i="14"/>
  <c r="L145" i="14" s="1"/>
  <c r="J162" i="14"/>
  <c r="L162" i="14" s="1"/>
  <c r="J180" i="14"/>
  <c r="L180" i="14" s="1"/>
  <c r="B27" i="14"/>
  <c r="D27" i="14" s="1"/>
  <c r="B175" i="14"/>
  <c r="D175" i="14" s="1"/>
  <c r="B108" i="14"/>
  <c r="D108" i="14" s="1"/>
  <c r="B161" i="14"/>
  <c r="D161" i="14" s="1"/>
  <c r="B110" i="14"/>
  <c r="D110" i="14" s="1"/>
  <c r="B37" i="14"/>
  <c r="D37" i="14" s="1"/>
  <c r="B52" i="14"/>
  <c r="D52" i="14" s="1"/>
  <c r="R49" i="14"/>
  <c r="T49" i="14" s="1"/>
  <c r="R75" i="14"/>
  <c r="T75" i="14" s="1"/>
  <c r="R131" i="14"/>
  <c r="T131" i="14" s="1"/>
  <c r="R180" i="14"/>
  <c r="T180" i="14" s="1"/>
  <c r="R88" i="14"/>
  <c r="T88" i="14" s="1"/>
  <c r="R66" i="14"/>
  <c r="T66" i="14" s="1"/>
  <c r="R93" i="14"/>
  <c r="T93" i="14" s="1"/>
  <c r="R181" i="14"/>
  <c r="T181" i="14" s="1"/>
  <c r="R68" i="14"/>
  <c r="T68" i="14" s="1"/>
  <c r="R72" i="14"/>
  <c r="T72" i="14" s="1"/>
  <c r="R90" i="14"/>
  <c r="T90" i="14" s="1"/>
  <c r="R157" i="14"/>
  <c r="T157" i="14" s="1"/>
  <c r="R165" i="14"/>
  <c r="T165" i="14" s="1"/>
  <c r="R21" i="14"/>
  <c r="T21" i="14" s="1"/>
  <c r="R119" i="14"/>
  <c r="T119" i="14" s="1"/>
  <c r="R183" i="14"/>
  <c r="T183" i="14" s="1"/>
  <c r="N22" i="14"/>
  <c r="P22" i="14" s="1"/>
  <c r="N68" i="14"/>
  <c r="P68" i="14" s="1"/>
  <c r="N23" i="14"/>
  <c r="P23" i="14" s="1"/>
  <c r="N38" i="14"/>
  <c r="P38" i="14" s="1"/>
  <c r="N135" i="14"/>
  <c r="P135" i="14" s="1"/>
  <c r="N70" i="14"/>
  <c r="P70" i="14" s="1"/>
  <c r="N83" i="14"/>
  <c r="P83" i="14" s="1"/>
  <c r="N31" i="14"/>
  <c r="P31" i="14" s="1"/>
  <c r="J48" i="14"/>
  <c r="L48" i="14" s="1"/>
  <c r="J75" i="14"/>
  <c r="L75" i="14" s="1"/>
  <c r="J173" i="14"/>
  <c r="L173" i="14" s="1"/>
  <c r="J17" i="14"/>
  <c r="L17" i="14" s="1"/>
  <c r="J72" i="14"/>
  <c r="L72" i="14" s="1"/>
  <c r="B26" i="14"/>
  <c r="D26" i="14" s="1"/>
  <c r="B81" i="14"/>
  <c r="D81" i="14" s="1"/>
  <c r="B120" i="14"/>
  <c r="D120" i="14" s="1"/>
  <c r="B39" i="14"/>
  <c r="D39" i="14" s="1"/>
  <c r="B132" i="14"/>
  <c r="D132" i="14" s="1"/>
  <c r="B163" i="14"/>
  <c r="D163" i="14" s="1"/>
  <c r="B41" i="14"/>
  <c r="D41" i="14" s="1"/>
  <c r="B122" i="14"/>
  <c r="D122" i="14" s="1"/>
  <c r="B20" i="14"/>
  <c r="D20" i="14" s="1"/>
  <c r="B107" i="14"/>
  <c r="D107" i="14" s="1"/>
  <c r="B134" i="14"/>
  <c r="D134" i="14" s="1"/>
  <c r="B151" i="14"/>
  <c r="D151" i="14" s="1"/>
  <c r="B112" i="14"/>
  <c r="D112" i="14" s="1"/>
  <c r="B100" i="14"/>
  <c r="D100" i="14" s="1"/>
  <c r="R67" i="14"/>
  <c r="T67" i="14" s="1"/>
  <c r="R173" i="14"/>
  <c r="T173" i="14" s="1"/>
  <c r="R189" i="14"/>
  <c r="T189" i="14" s="1"/>
  <c r="R202" i="14"/>
  <c r="T202" i="14" s="1"/>
  <c r="R147" i="14"/>
  <c r="T147" i="14" s="1"/>
  <c r="R82" i="14"/>
  <c r="T82" i="14" s="1"/>
  <c r="N39" i="14"/>
  <c r="P39" i="14" s="1"/>
  <c r="N50" i="14"/>
  <c r="P50" i="14" s="1"/>
  <c r="N161" i="14"/>
  <c r="P161" i="14" s="1"/>
  <c r="N154" i="14"/>
  <c r="P154" i="14" s="1"/>
  <c r="N20" i="14"/>
  <c r="P20" i="14" s="1"/>
  <c r="N168" i="14"/>
  <c r="P168" i="14" s="1"/>
  <c r="N115" i="14"/>
  <c r="P115" i="14" s="1"/>
  <c r="N140" i="14"/>
  <c r="P140" i="14" s="1"/>
  <c r="J67" i="14"/>
  <c r="L67" i="14" s="1"/>
  <c r="J95" i="14"/>
  <c r="L95" i="14" s="1"/>
  <c r="J184" i="14"/>
  <c r="L184" i="14" s="1"/>
  <c r="J112" i="14"/>
  <c r="L112" i="14" s="1"/>
  <c r="J127" i="14"/>
  <c r="L127" i="14" s="1"/>
  <c r="H13" i="14"/>
  <c r="F120" i="14"/>
  <c r="H120" i="14" s="1"/>
  <c r="B40" i="14"/>
  <c r="D40" i="14" s="1"/>
  <c r="B21" i="14"/>
  <c r="D21" i="14" s="1"/>
  <c r="B75" i="14"/>
  <c r="D75" i="14" s="1"/>
  <c r="B83" i="14"/>
  <c r="D83" i="14" s="1"/>
  <c r="B136" i="14"/>
  <c r="D136" i="14" s="1"/>
  <c r="V31" i="14"/>
  <c r="X31" i="14" s="1"/>
  <c r="V35" i="14"/>
  <c r="X35" i="14" s="1"/>
  <c r="V84" i="14"/>
  <c r="X84" i="14" s="1"/>
  <c r="V91" i="14"/>
  <c r="X91" i="14" s="1"/>
  <c r="AA24" i="9"/>
  <c r="AB24" i="9" s="1"/>
  <c r="W25" i="14" s="1"/>
  <c r="X25" i="14" s="1"/>
  <c r="AA38" i="9"/>
  <c r="AB38" i="9" s="1"/>
  <c r="W39" i="14" s="1"/>
  <c r="X39" i="14" s="1"/>
  <c r="AA55" i="9"/>
  <c r="AB55" i="9" s="1"/>
  <c r="W56" i="14" s="1"/>
  <c r="X56" i="14" s="1"/>
  <c r="V54" i="14"/>
  <c r="X54" i="14" s="1"/>
  <c r="V147" i="14"/>
  <c r="X147" i="14" s="1"/>
  <c r="V97" i="14"/>
  <c r="X97" i="14" s="1"/>
  <c r="AA32" i="9"/>
  <c r="AB32" i="9" s="1"/>
  <c r="W33" i="14" s="1"/>
  <c r="X33" i="14" s="1"/>
  <c r="AA35" i="9"/>
  <c r="AB35" i="9" s="1"/>
  <c r="W36" i="14" s="1"/>
  <c r="X36" i="14" s="1"/>
  <c r="V73" i="14"/>
  <c r="X73" i="14" s="1"/>
  <c r="V67" i="14"/>
  <c r="X67" i="14" s="1"/>
  <c r="V70" i="14"/>
  <c r="X70" i="14" s="1"/>
  <c r="V82" i="14"/>
  <c r="X82" i="14" s="1"/>
  <c r="V89" i="14"/>
  <c r="X89" i="14" s="1"/>
  <c r="V93" i="14"/>
  <c r="X93" i="14" s="1"/>
  <c r="V117" i="14"/>
  <c r="X117" i="14" s="1"/>
  <c r="V120" i="14"/>
  <c r="X120" i="14" s="1"/>
  <c r="V57" i="14"/>
  <c r="X57" i="14" s="1"/>
  <c r="V76" i="14"/>
  <c r="X76" i="14" s="1"/>
  <c r="AA107" i="9"/>
  <c r="AB107" i="9" s="1"/>
  <c r="W108" i="14" s="1"/>
  <c r="X108" i="14" s="1"/>
  <c r="AA198" i="9"/>
  <c r="AB198" i="9" s="1"/>
  <c r="W199" i="14" s="1"/>
  <c r="X199" i="14" s="1"/>
  <c r="V175" i="14"/>
  <c r="X175" i="14" s="1"/>
  <c r="R47" i="14"/>
  <c r="T47" i="14" s="1"/>
  <c r="R107" i="14"/>
  <c r="T107" i="14" s="1"/>
  <c r="R174" i="14"/>
  <c r="T174" i="14" s="1"/>
  <c r="R135" i="14"/>
  <c r="T135" i="14" s="1"/>
  <c r="R78" i="14"/>
  <c r="T78" i="14" s="1"/>
  <c r="R96" i="14"/>
  <c r="T96" i="14" s="1"/>
  <c r="R193" i="14"/>
  <c r="T193" i="14" s="1"/>
  <c r="R81" i="14"/>
  <c r="T81" i="14" s="1"/>
  <c r="R101" i="14"/>
  <c r="T101" i="14" s="1"/>
  <c r="R141" i="14"/>
  <c r="T141" i="14" s="1"/>
  <c r="R30" i="14"/>
  <c r="T30" i="14" s="1"/>
  <c r="R27" i="14"/>
  <c r="T27" i="14" s="1"/>
  <c r="R151" i="14"/>
  <c r="T151" i="14" s="1"/>
  <c r="N200" i="14"/>
  <c r="P200" i="14" s="1"/>
  <c r="N98" i="14"/>
  <c r="P98" i="14" s="1"/>
  <c r="N181" i="14"/>
  <c r="P181" i="14" s="1"/>
  <c r="N130" i="14"/>
  <c r="P130" i="14" s="1"/>
  <c r="N124" i="14"/>
  <c r="P124" i="14" s="1"/>
  <c r="N188" i="14"/>
  <c r="P188" i="14" s="1"/>
  <c r="N36" i="14"/>
  <c r="P36" i="14" s="1"/>
  <c r="J124" i="14"/>
  <c r="L124" i="14" s="1"/>
  <c r="J143" i="14"/>
  <c r="L143" i="14" s="1"/>
  <c r="J202" i="14"/>
  <c r="L202" i="14" s="1"/>
  <c r="J27" i="14"/>
  <c r="L27" i="14" s="1"/>
  <c r="F38" i="14"/>
  <c r="H38" i="14" s="1"/>
  <c r="F74" i="14"/>
  <c r="H74" i="14" s="1"/>
  <c r="F86" i="14"/>
  <c r="H86" i="14" s="1"/>
  <c r="F158" i="14"/>
  <c r="H158" i="14" s="1"/>
  <c r="F50" i="14"/>
  <c r="H50" i="14" s="1"/>
  <c r="F26" i="14"/>
  <c r="H26" i="14" s="1"/>
  <c r="B127" i="14"/>
  <c r="D127" i="14" s="1"/>
  <c r="B57" i="14"/>
  <c r="D57" i="14" s="1"/>
  <c r="B54" i="14"/>
  <c r="D54" i="14" s="1"/>
  <c r="B65" i="14"/>
  <c r="D65" i="14" s="1"/>
  <c r="B109" i="14"/>
  <c r="D109" i="14" s="1"/>
  <c r="B187" i="14"/>
  <c r="D187" i="14" s="1"/>
  <c r="B177" i="14"/>
  <c r="D177" i="14" s="1"/>
  <c r="B182" i="14"/>
  <c r="D182" i="14" s="1"/>
  <c r="B80" i="14"/>
  <c r="D80" i="14" s="1"/>
  <c r="F84" i="14"/>
  <c r="H84" i="14" s="1"/>
  <c r="F144" i="14"/>
  <c r="H144" i="14" s="1"/>
  <c r="F181" i="14"/>
  <c r="H181" i="14" s="1"/>
  <c r="K24" i="9"/>
  <c r="L24" i="9" s="1"/>
  <c r="G25" i="14" s="1"/>
  <c r="H25" i="14" s="1"/>
  <c r="K179" i="9"/>
  <c r="L179" i="9" s="1"/>
  <c r="G180" i="14" s="1"/>
  <c r="H180" i="14" s="1"/>
  <c r="F24" i="14"/>
  <c r="H24" i="14" s="1"/>
  <c r="F133" i="14"/>
  <c r="H133" i="14" s="1"/>
  <c r="F193" i="14"/>
  <c r="H193" i="14" s="1"/>
  <c r="K59" i="9"/>
  <c r="L59" i="9" s="1"/>
  <c r="G60" i="14" s="1"/>
  <c r="H60" i="14" s="1"/>
  <c r="K168" i="9"/>
  <c r="L168" i="9" s="1"/>
  <c r="G169" i="14" s="1"/>
  <c r="H169" i="14" s="1"/>
  <c r="F37" i="14"/>
  <c r="H37" i="14" s="1"/>
  <c r="F97" i="14"/>
  <c r="H97" i="14" s="1"/>
  <c r="F108" i="14"/>
  <c r="H108" i="14" s="1"/>
  <c r="K108" i="9"/>
  <c r="L108" i="9" s="1"/>
  <c r="G109" i="14" s="1"/>
  <c r="H109" i="14" s="1"/>
  <c r="K72" i="9"/>
  <c r="L72" i="9" s="1"/>
  <c r="G73" i="14" s="1"/>
  <c r="H73" i="14" s="1"/>
  <c r="F156" i="14"/>
  <c r="H156" i="14" s="1"/>
  <c r="R48" i="14"/>
  <c r="T48" i="14" s="1"/>
  <c r="R199" i="14"/>
  <c r="T199" i="14" s="1"/>
  <c r="R54" i="14"/>
  <c r="T54" i="14" s="1"/>
  <c r="R105" i="14"/>
  <c r="T105" i="14" s="1"/>
  <c r="R133" i="14"/>
  <c r="T133" i="14" s="1"/>
  <c r="W142" i="9"/>
  <c r="X142" i="9" s="1"/>
  <c r="S143" i="14" s="1"/>
  <c r="T143" i="14" s="1"/>
  <c r="R102" i="14"/>
  <c r="T102" i="14" s="1"/>
  <c r="R136" i="14"/>
  <c r="T136" i="14" s="1"/>
  <c r="R139" i="14"/>
  <c r="T139" i="14" s="1"/>
  <c r="R177" i="14"/>
  <c r="T177" i="14" s="1"/>
  <c r="R24" i="14"/>
  <c r="T24" i="14" s="1"/>
  <c r="N28" i="14"/>
  <c r="P28" i="14" s="1"/>
  <c r="N103" i="14"/>
  <c r="P103" i="14" s="1"/>
  <c r="N125" i="14"/>
  <c r="P125" i="14" s="1"/>
  <c r="N137" i="14"/>
  <c r="P137" i="14" s="1"/>
  <c r="N179" i="14"/>
  <c r="P179" i="14" s="1"/>
  <c r="N29" i="14"/>
  <c r="P29" i="14" s="1"/>
  <c r="N52" i="14"/>
  <c r="P52" i="14" s="1"/>
  <c r="N19" i="14"/>
  <c r="P19" i="14" s="1"/>
  <c r="N77" i="14"/>
  <c r="P77" i="14" s="1"/>
  <c r="N169" i="14"/>
  <c r="P169" i="14" s="1"/>
  <c r="N185" i="14"/>
  <c r="P185" i="14" s="1"/>
  <c r="N30" i="14"/>
  <c r="P30" i="14" s="1"/>
  <c r="N33" i="14"/>
  <c r="P33" i="14" s="1"/>
  <c r="N53" i="14"/>
  <c r="P53" i="14" s="1"/>
  <c r="N144" i="14"/>
  <c r="P144" i="14" s="1"/>
  <c r="N148" i="14"/>
  <c r="P148" i="14" s="1"/>
  <c r="J18" i="14"/>
  <c r="L18" i="14" s="1"/>
  <c r="J57" i="14"/>
  <c r="L57" i="14" s="1"/>
  <c r="J63" i="14"/>
  <c r="L63" i="14" s="1"/>
  <c r="J100" i="14"/>
  <c r="L100" i="14" s="1"/>
  <c r="J109" i="14"/>
  <c r="L109" i="14" s="1"/>
  <c r="J121" i="14"/>
  <c r="L121" i="14" s="1"/>
  <c r="J16" i="14"/>
  <c r="L16" i="14" s="1"/>
  <c r="J104" i="14"/>
  <c r="L104" i="14" s="1"/>
  <c r="J64" i="14"/>
  <c r="L64" i="14" s="1"/>
  <c r="J89" i="14"/>
  <c r="L89" i="14" s="1"/>
  <c r="O43" i="9"/>
  <c r="P43" i="9" s="1"/>
  <c r="K44" i="14" s="1"/>
  <c r="L44" i="14" s="1"/>
  <c r="J80" i="14"/>
  <c r="L80" i="14" s="1"/>
  <c r="J101" i="14"/>
  <c r="L101" i="14" s="1"/>
  <c r="J71" i="14"/>
  <c r="L71" i="14" s="1"/>
  <c r="J141" i="14"/>
  <c r="L141" i="14" s="1"/>
  <c r="J166" i="14"/>
  <c r="L166" i="14" s="1"/>
  <c r="J42" i="14"/>
  <c r="L42" i="14" s="1"/>
  <c r="J39" i="14"/>
  <c r="L39" i="14" s="1"/>
  <c r="J74" i="14"/>
  <c r="L74" i="14" s="1"/>
  <c r="J76" i="14"/>
  <c r="L76" i="14" s="1"/>
  <c r="J120" i="14"/>
  <c r="L120" i="14" s="1"/>
  <c r="J161" i="14"/>
  <c r="L161" i="14" s="1"/>
  <c r="J115" i="14"/>
  <c r="L115" i="14" s="1"/>
  <c r="J126" i="14"/>
  <c r="L126" i="14" s="1"/>
  <c r="J158" i="14"/>
  <c r="L158" i="14" s="1"/>
  <c r="J88" i="14"/>
  <c r="L88" i="14" s="1"/>
  <c r="J118" i="14"/>
  <c r="L118" i="14" s="1"/>
  <c r="J135" i="14"/>
  <c r="L135" i="14" s="1"/>
  <c r="F49" i="14"/>
  <c r="H49" i="14" s="1"/>
  <c r="F72" i="14"/>
  <c r="H72" i="14" s="1"/>
  <c r="F98" i="14"/>
  <c r="H98" i="14" s="1"/>
  <c r="F15" i="14"/>
  <c r="H15" i="14" s="1"/>
  <c r="F34" i="14"/>
  <c r="H34" i="14" s="1"/>
  <c r="F55" i="14"/>
  <c r="H55" i="14" s="1"/>
  <c r="F75" i="14"/>
  <c r="H75" i="14" s="1"/>
  <c r="F95" i="14"/>
  <c r="H95" i="14" s="1"/>
  <c r="K128" i="9"/>
  <c r="L128" i="9" s="1"/>
  <c r="G129" i="14" s="1"/>
  <c r="H129" i="14" s="1"/>
  <c r="F18" i="14"/>
  <c r="H18" i="14" s="1"/>
  <c r="F31" i="14"/>
  <c r="H31" i="14" s="1"/>
  <c r="F141" i="14"/>
  <c r="H141" i="14" s="1"/>
  <c r="F85" i="14"/>
  <c r="H85" i="14" s="1"/>
  <c r="F123" i="14"/>
  <c r="H123" i="14" s="1"/>
  <c r="F112" i="14"/>
  <c r="H112" i="14" s="1"/>
  <c r="F154" i="14"/>
  <c r="H154" i="14" s="1"/>
  <c r="F168" i="14"/>
  <c r="H168" i="14" s="1"/>
  <c r="F189" i="14"/>
  <c r="H189" i="14" s="1"/>
  <c r="F61" i="14"/>
  <c r="H61" i="14" s="1"/>
  <c r="F149" i="14"/>
  <c r="H149" i="14" s="1"/>
  <c r="F171" i="14"/>
  <c r="H171" i="14" s="1"/>
  <c r="F192" i="14"/>
  <c r="H192" i="14" s="1"/>
  <c r="F40" i="14"/>
  <c r="H40" i="14" s="1"/>
  <c r="F69" i="14"/>
  <c r="H69" i="14" s="1"/>
  <c r="F90" i="14"/>
  <c r="H90" i="14" s="1"/>
  <c r="F110" i="14"/>
  <c r="H110" i="14" s="1"/>
  <c r="F135" i="14"/>
  <c r="H135" i="14" s="1"/>
  <c r="F157" i="14"/>
  <c r="H157" i="14" s="1"/>
  <c r="F163" i="14"/>
  <c r="H163" i="14" s="1"/>
  <c r="B82" i="14"/>
  <c r="D82" i="14" s="1"/>
  <c r="B62" i="14"/>
  <c r="D62" i="14" s="1"/>
  <c r="B24" i="14"/>
  <c r="D24" i="14" s="1"/>
  <c r="B29" i="14"/>
  <c r="D29" i="14" s="1"/>
  <c r="B64" i="14"/>
  <c r="D64" i="14" s="1"/>
  <c r="R80" i="14"/>
  <c r="T80" i="14" s="1"/>
  <c r="W42" i="9"/>
  <c r="X42" i="9" s="1"/>
  <c r="S43" i="14" s="1"/>
  <c r="T43" i="14" s="1"/>
  <c r="R31" i="14"/>
  <c r="T31" i="14" s="1"/>
  <c r="R44" i="14"/>
  <c r="T44" i="14" s="1"/>
  <c r="R50" i="14"/>
  <c r="T50" i="14" s="1"/>
  <c r="R152" i="14"/>
  <c r="T152" i="14" s="1"/>
  <c r="R22" i="14"/>
  <c r="T22" i="14" s="1"/>
  <c r="R15" i="14"/>
  <c r="T15" i="14" s="1"/>
  <c r="N94" i="14"/>
  <c r="P94" i="14" s="1"/>
  <c r="N157" i="14"/>
  <c r="P157" i="14" s="1"/>
  <c r="N48" i="14"/>
  <c r="P48" i="14" s="1"/>
  <c r="N92" i="14"/>
  <c r="P92" i="14" s="1"/>
  <c r="S99" i="9"/>
  <c r="T99" i="9" s="1"/>
  <c r="O100" i="14" s="1"/>
  <c r="P100" i="14" s="1"/>
  <c r="N67" i="14"/>
  <c r="P67" i="14" s="1"/>
  <c r="N81" i="14"/>
  <c r="P81" i="14" s="1"/>
  <c r="N108" i="14"/>
  <c r="P108" i="14" s="1"/>
  <c r="N129" i="14"/>
  <c r="P129" i="14" s="1"/>
  <c r="N42" i="14"/>
  <c r="P42" i="14" s="1"/>
  <c r="N46" i="14"/>
  <c r="P46" i="14" s="1"/>
  <c r="N61" i="14"/>
  <c r="P61" i="14" s="1"/>
  <c r="N64" i="14"/>
  <c r="P64" i="14" s="1"/>
  <c r="N93" i="14"/>
  <c r="P93" i="14" s="1"/>
  <c r="N132" i="14"/>
  <c r="P132" i="14" s="1"/>
  <c r="N43" i="14"/>
  <c r="P43" i="14" s="1"/>
  <c r="N106" i="14"/>
  <c r="P106" i="14" s="1"/>
  <c r="N127" i="14"/>
  <c r="P127" i="14" s="1"/>
  <c r="N159" i="14"/>
  <c r="P159" i="14" s="1"/>
  <c r="N167" i="14"/>
  <c r="P167" i="14" s="1"/>
  <c r="N180" i="14"/>
  <c r="P180" i="14" s="1"/>
  <c r="N149" i="14"/>
  <c r="P149" i="14" s="1"/>
  <c r="N123" i="14"/>
  <c r="P123" i="14" s="1"/>
  <c r="N146" i="14"/>
  <c r="P146" i="14" s="1"/>
  <c r="N101" i="14"/>
  <c r="P101" i="14" s="1"/>
  <c r="N112" i="14"/>
  <c r="P112" i="14" s="1"/>
  <c r="N143" i="14"/>
  <c r="P143" i="14" s="1"/>
  <c r="J30" i="14"/>
  <c r="L30" i="14" s="1"/>
  <c r="J32" i="14"/>
  <c r="L32" i="14" s="1"/>
  <c r="J43" i="14"/>
  <c r="L43" i="14" s="1"/>
  <c r="J98" i="14"/>
  <c r="L98" i="14" s="1"/>
  <c r="J132" i="14"/>
  <c r="L132" i="14" s="1"/>
  <c r="J148" i="14"/>
  <c r="L148" i="14" s="1"/>
  <c r="J153" i="14"/>
  <c r="L153" i="14" s="1"/>
  <c r="J183" i="14"/>
  <c r="L183" i="14" s="1"/>
  <c r="J188" i="14"/>
  <c r="L188" i="14" s="1"/>
  <c r="J163" i="14"/>
  <c r="L163" i="14" s="1"/>
  <c r="J38" i="14"/>
  <c r="L38" i="14" s="1"/>
  <c r="J79" i="14"/>
  <c r="L79" i="14" s="1"/>
  <c r="J81" i="14"/>
  <c r="L81" i="14" s="1"/>
  <c r="J128" i="14"/>
  <c r="L128" i="14" s="1"/>
  <c r="J140" i="14"/>
  <c r="L140" i="14" s="1"/>
  <c r="J196" i="14"/>
  <c r="L196" i="14" s="1"/>
  <c r="J65" i="14"/>
  <c r="L65" i="14" s="1"/>
  <c r="J77" i="14"/>
  <c r="L77" i="14" s="1"/>
  <c r="J201" i="14"/>
  <c r="L201" i="14" s="1"/>
  <c r="J41" i="14"/>
  <c r="L41" i="14" s="1"/>
  <c r="J55" i="14"/>
  <c r="L55" i="14" s="1"/>
  <c r="J84" i="14"/>
  <c r="L84" i="14" s="1"/>
  <c r="J108" i="14"/>
  <c r="L108" i="14" s="1"/>
  <c r="J192" i="14"/>
  <c r="L192" i="14" s="1"/>
  <c r="J182" i="14"/>
  <c r="L182" i="14" s="1"/>
  <c r="J157" i="14"/>
  <c r="L157" i="14" s="1"/>
  <c r="J160" i="14"/>
  <c r="L160" i="14" s="1"/>
  <c r="J46" i="14"/>
  <c r="L46" i="14" s="1"/>
  <c r="J60" i="14"/>
  <c r="L60" i="14" s="1"/>
  <c r="J125" i="14"/>
  <c r="L125" i="14" s="1"/>
  <c r="J190" i="14"/>
  <c r="L190" i="14" s="1"/>
  <c r="F22" i="14"/>
  <c r="H22" i="14" s="1"/>
  <c r="F59" i="14"/>
  <c r="H59" i="14" s="1"/>
  <c r="B92" i="14"/>
  <c r="D92" i="14" s="1"/>
  <c r="B103" i="14"/>
  <c r="D103" i="14" s="1"/>
  <c r="B49" i="14"/>
  <c r="D49" i="14" s="1"/>
  <c r="B159" i="14"/>
  <c r="D159" i="14" s="1"/>
  <c r="B22" i="14"/>
  <c r="D22" i="14" s="1"/>
  <c r="B47" i="14"/>
  <c r="D47" i="14" s="1"/>
  <c r="B67" i="14"/>
  <c r="D67" i="14" s="1"/>
  <c r="B99" i="14"/>
  <c r="D99" i="14" s="1"/>
  <c r="B178" i="14"/>
  <c r="D178" i="14" s="1"/>
  <c r="B96" i="14"/>
  <c r="D96" i="14" s="1"/>
  <c r="B170" i="14"/>
  <c r="D170" i="14" s="1"/>
  <c r="B91" i="14"/>
  <c r="D91" i="14" s="1"/>
  <c r="B97" i="14"/>
  <c r="D97" i="14" s="1"/>
  <c r="B43" i="14"/>
  <c r="D43" i="14" s="1"/>
  <c r="B121" i="14"/>
  <c r="D121" i="14" s="1"/>
  <c r="B46" i="14"/>
  <c r="D46" i="14" s="1"/>
  <c r="B68" i="14"/>
  <c r="D68" i="14" s="1"/>
  <c r="R61" i="14"/>
  <c r="T61" i="14" s="1"/>
  <c r="W28" i="9"/>
  <c r="X28" i="9" s="1"/>
  <c r="S29" i="14" s="1"/>
  <c r="T29" i="14" s="1"/>
  <c r="W99" i="9"/>
  <c r="X99" i="9" s="1"/>
  <c r="S100" i="14" s="1"/>
  <c r="T100" i="14" s="1"/>
  <c r="R86" i="14"/>
  <c r="T86" i="14" s="1"/>
  <c r="R118" i="14"/>
  <c r="T118" i="14" s="1"/>
  <c r="W78" i="9"/>
  <c r="X78" i="9" s="1"/>
  <c r="S79" i="14" s="1"/>
  <c r="T79" i="14" s="1"/>
  <c r="R60" i="14"/>
  <c r="T60" i="14" s="1"/>
  <c r="R94" i="14"/>
  <c r="T94" i="14" s="1"/>
  <c r="R176" i="14"/>
  <c r="T176" i="14" s="1"/>
  <c r="W145" i="9"/>
  <c r="X145" i="9" s="1"/>
  <c r="S146" i="14" s="1"/>
  <c r="T146" i="14" s="1"/>
  <c r="R18" i="14"/>
  <c r="T18" i="14" s="1"/>
  <c r="R121" i="14"/>
  <c r="T121" i="14" s="1"/>
  <c r="R16" i="14"/>
  <c r="T16" i="14" s="1"/>
  <c r="R185" i="14"/>
  <c r="T185" i="14" s="1"/>
  <c r="R35" i="14"/>
  <c r="T35" i="14" s="1"/>
  <c r="N47" i="14"/>
  <c r="P47" i="14" s="1"/>
  <c r="N60" i="14"/>
  <c r="P60" i="14" s="1"/>
  <c r="N63" i="14"/>
  <c r="P63" i="14" s="1"/>
  <c r="N85" i="14"/>
  <c r="P85" i="14" s="1"/>
  <c r="N147" i="14"/>
  <c r="P147" i="14" s="1"/>
  <c r="N156" i="14"/>
  <c r="P156" i="14" s="1"/>
  <c r="N88" i="14"/>
  <c r="P88" i="14" s="1"/>
  <c r="N96" i="14"/>
  <c r="P96" i="14" s="1"/>
  <c r="N150" i="14"/>
  <c r="P150" i="14" s="1"/>
  <c r="N193" i="14"/>
  <c r="P193" i="14" s="1"/>
  <c r="N91" i="14"/>
  <c r="P91" i="14" s="1"/>
  <c r="N99" i="14"/>
  <c r="P99" i="14" s="1"/>
  <c r="N126" i="14"/>
  <c r="P126" i="14" s="1"/>
  <c r="N173" i="14"/>
  <c r="P173" i="14" s="1"/>
  <c r="N34" i="14"/>
  <c r="P34" i="14" s="1"/>
  <c r="N82" i="14"/>
  <c r="P82" i="14" s="1"/>
  <c r="N75" i="14"/>
  <c r="P75" i="14" s="1"/>
  <c r="N18" i="14"/>
  <c r="P18" i="14" s="1"/>
  <c r="N109" i="14"/>
  <c r="P109" i="14" s="1"/>
  <c r="N182" i="14"/>
  <c r="P182" i="14" s="1"/>
  <c r="N196" i="14"/>
  <c r="P196" i="14" s="1"/>
  <c r="N57" i="14"/>
  <c r="P57" i="14" s="1"/>
  <c r="S101" i="9"/>
  <c r="T101" i="9" s="1"/>
  <c r="O102" i="14" s="1"/>
  <c r="P102" i="14" s="1"/>
  <c r="N27" i="14"/>
  <c r="P27" i="14" s="1"/>
  <c r="N105" i="14"/>
  <c r="P105" i="14" s="1"/>
  <c r="N187" i="14"/>
  <c r="P187" i="14" s="1"/>
  <c r="J22" i="14"/>
  <c r="L22" i="14" s="1"/>
  <c r="J24" i="14"/>
  <c r="L24" i="14" s="1"/>
  <c r="J33" i="14"/>
  <c r="L33" i="14" s="1"/>
  <c r="J66" i="14"/>
  <c r="L66" i="14" s="1"/>
  <c r="J53" i="14"/>
  <c r="L53" i="14" s="1"/>
  <c r="J93" i="14"/>
  <c r="L93" i="14" s="1"/>
  <c r="J147" i="14"/>
  <c r="L147" i="14" s="1"/>
  <c r="J25" i="14"/>
  <c r="L25" i="14" s="1"/>
  <c r="J69" i="14"/>
  <c r="L69" i="14" s="1"/>
  <c r="J91" i="14"/>
  <c r="L91" i="14" s="1"/>
  <c r="J139" i="14"/>
  <c r="L139" i="14" s="1"/>
  <c r="J56" i="14"/>
  <c r="L56" i="14" s="1"/>
  <c r="J78" i="14"/>
  <c r="L78" i="14" s="1"/>
  <c r="J193" i="14"/>
  <c r="L193" i="14" s="1"/>
  <c r="F107" i="14"/>
  <c r="H107" i="14" s="1"/>
  <c r="K102" i="9"/>
  <c r="L102" i="9" s="1"/>
  <c r="G103" i="14" s="1"/>
  <c r="H103" i="14" s="1"/>
  <c r="F134" i="14"/>
  <c r="H134" i="14" s="1"/>
  <c r="F62" i="14"/>
  <c r="H62" i="14" s="1"/>
  <c r="F143" i="14"/>
  <c r="H143" i="14" s="1"/>
  <c r="F65" i="14"/>
  <c r="H65" i="14" s="1"/>
  <c r="F36" i="14"/>
  <c r="H36" i="14" s="1"/>
  <c r="F43" i="14"/>
  <c r="H43" i="14" s="1"/>
  <c r="F137" i="14"/>
  <c r="H137" i="14" s="1"/>
  <c r="F46" i="14"/>
  <c r="H46" i="14" s="1"/>
  <c r="F159" i="14"/>
  <c r="H159" i="14" s="1"/>
  <c r="F23" i="14"/>
  <c r="H23" i="14" s="1"/>
  <c r="B61" i="14"/>
  <c r="D61" i="14" s="1"/>
  <c r="B169" i="14"/>
  <c r="D169" i="14" s="1"/>
  <c r="B192" i="14"/>
  <c r="D192" i="14" s="1"/>
  <c r="B77" i="14"/>
  <c r="D77" i="14" s="1"/>
  <c r="B130" i="14"/>
  <c r="D130" i="14" s="1"/>
  <c r="B98" i="14"/>
  <c r="D98" i="14" s="1"/>
  <c r="B158" i="14"/>
  <c r="D158" i="14" s="1"/>
  <c r="B184" i="14"/>
  <c r="D184" i="14" s="1"/>
  <c r="B55" i="14"/>
  <c r="D55" i="14" s="1"/>
  <c r="B84" i="14"/>
  <c r="D84" i="14" s="1"/>
  <c r="B145" i="14"/>
  <c r="D145" i="14" s="1"/>
  <c r="B148" i="14"/>
  <c r="D148" i="14" s="1"/>
  <c r="B198" i="14"/>
  <c r="D198" i="14" s="1"/>
  <c r="B28" i="14"/>
  <c r="D28" i="14" s="1"/>
  <c r="B42" i="14"/>
  <c r="D42" i="14" s="1"/>
  <c r="R40" i="14"/>
  <c r="T40" i="14" s="1"/>
  <c r="R114" i="14"/>
  <c r="T114" i="14" s="1"/>
  <c r="R123" i="14"/>
  <c r="T123" i="14" s="1"/>
  <c r="R127" i="14"/>
  <c r="T127" i="14" s="1"/>
  <c r="R98" i="14"/>
  <c r="T98" i="14" s="1"/>
  <c r="W68" i="9"/>
  <c r="X68" i="9" s="1"/>
  <c r="S69" i="14" s="1"/>
  <c r="T69" i="14" s="1"/>
  <c r="W88" i="9"/>
  <c r="X88" i="9" s="1"/>
  <c r="S89" i="14" s="1"/>
  <c r="T89" i="14" s="1"/>
  <c r="R190" i="14"/>
  <c r="T190" i="14" s="1"/>
  <c r="W129" i="9"/>
  <c r="X129" i="9" s="1"/>
  <c r="S130" i="14" s="1"/>
  <c r="T130" i="14" s="1"/>
  <c r="R41" i="14"/>
  <c r="T41" i="14" s="1"/>
  <c r="R62" i="14"/>
  <c r="T62" i="14" s="1"/>
  <c r="W167" i="9"/>
  <c r="X167" i="9" s="1"/>
  <c r="S168" i="14" s="1"/>
  <c r="T168" i="14" s="1"/>
  <c r="R37" i="14"/>
  <c r="T37" i="14" s="1"/>
  <c r="R77" i="14"/>
  <c r="T77" i="14" s="1"/>
  <c r="R110" i="14"/>
  <c r="T110" i="14" s="1"/>
  <c r="R115" i="14"/>
  <c r="T115" i="14" s="1"/>
  <c r="R128" i="14"/>
  <c r="T128" i="14" s="1"/>
  <c r="R132" i="14"/>
  <c r="T132" i="14" s="1"/>
  <c r="R33" i="14"/>
  <c r="T33" i="14" s="1"/>
  <c r="R39" i="14"/>
  <c r="T39" i="14" s="1"/>
  <c r="R122" i="14"/>
  <c r="T122" i="14" s="1"/>
  <c r="R148" i="14"/>
  <c r="T148" i="14" s="1"/>
  <c r="R161" i="14"/>
  <c r="T161" i="14" s="1"/>
  <c r="R163" i="14"/>
  <c r="T163" i="14" s="1"/>
  <c r="R197" i="14"/>
  <c r="T197" i="14" s="1"/>
  <c r="R83" i="14"/>
  <c r="T83" i="14" s="1"/>
  <c r="R92" i="14"/>
  <c r="T92" i="14" s="1"/>
  <c r="R17" i="14"/>
  <c r="T17" i="14" s="1"/>
  <c r="R25" i="14"/>
  <c r="T25" i="14" s="1"/>
  <c r="R36" i="14"/>
  <c r="T36" i="14" s="1"/>
  <c r="N44" i="14"/>
  <c r="P44" i="14" s="1"/>
  <c r="N69" i="14"/>
  <c r="P69" i="14" s="1"/>
  <c r="N14" i="14"/>
  <c r="P14" i="14" s="1"/>
  <c r="N32" i="14"/>
  <c r="P32" i="14" s="1"/>
  <c r="N40" i="14"/>
  <c r="P40" i="14" s="1"/>
  <c r="S20" i="9"/>
  <c r="T20" i="9" s="1"/>
  <c r="O21" i="14" s="1"/>
  <c r="P21" i="14" s="1"/>
  <c r="N54" i="14"/>
  <c r="P54" i="14" s="1"/>
  <c r="N86" i="14"/>
  <c r="P86" i="14" s="1"/>
  <c r="J15" i="14"/>
  <c r="L15" i="14" s="1"/>
  <c r="J19" i="14"/>
  <c r="L19" i="14" s="1"/>
  <c r="J103" i="14"/>
  <c r="L103" i="14" s="1"/>
  <c r="J62" i="14"/>
  <c r="L62" i="14" s="1"/>
  <c r="K95" i="9"/>
  <c r="L95" i="9" s="1"/>
  <c r="G96" i="14" s="1"/>
  <c r="H96" i="14" s="1"/>
  <c r="K151" i="9"/>
  <c r="L151" i="9" s="1"/>
  <c r="G152" i="14" s="1"/>
  <c r="H152" i="14" s="1"/>
  <c r="F89" i="14"/>
  <c r="H89" i="14" s="1"/>
  <c r="F121" i="14"/>
  <c r="H121" i="14" s="1"/>
  <c r="F170" i="14"/>
  <c r="H170" i="14" s="1"/>
  <c r="F194" i="14"/>
  <c r="H194" i="14" s="1"/>
  <c r="K26" i="9"/>
  <c r="L26" i="9" s="1"/>
  <c r="G27" i="14" s="1"/>
  <c r="H27" i="14" s="1"/>
  <c r="F52" i="14"/>
  <c r="H52" i="14" s="1"/>
  <c r="F48" i="14"/>
  <c r="H48" i="14" s="1"/>
  <c r="F166" i="14"/>
  <c r="H166" i="14" s="1"/>
  <c r="F28" i="14"/>
  <c r="H28" i="14" s="1"/>
  <c r="F64" i="14"/>
  <c r="H64" i="14" s="1"/>
  <c r="F78" i="14"/>
  <c r="H78" i="14" s="1"/>
  <c r="F184" i="14"/>
  <c r="H184" i="14" s="1"/>
  <c r="F176" i="14"/>
  <c r="H176" i="14" s="1"/>
  <c r="F71" i="14"/>
  <c r="H71" i="14" s="1"/>
  <c r="F82" i="14"/>
  <c r="H82" i="14" s="1"/>
  <c r="F132" i="14"/>
  <c r="H132" i="14" s="1"/>
  <c r="F138" i="14"/>
  <c r="H138" i="14" s="1"/>
  <c r="F145" i="14"/>
  <c r="H145" i="14" s="1"/>
  <c r="F160" i="14"/>
  <c r="H160" i="14" s="1"/>
  <c r="H29" i="14"/>
  <c r="F45" i="14"/>
  <c r="H45" i="14" s="1"/>
  <c r="F58" i="14"/>
  <c r="H58" i="14" s="1"/>
  <c r="B133" i="14"/>
  <c r="D133" i="14" s="1"/>
  <c r="B63" i="14"/>
  <c r="D63" i="14" s="1"/>
  <c r="B104" i="14"/>
  <c r="D104" i="14" s="1"/>
  <c r="G18" i="9"/>
  <c r="H18" i="9" s="1"/>
  <c r="C19" i="14" s="1"/>
  <c r="D19" i="14" s="1"/>
  <c r="G124" i="9"/>
  <c r="H124" i="9" s="1"/>
  <c r="C125" i="14" s="1"/>
  <c r="D125" i="14" s="1"/>
  <c r="G182" i="9"/>
  <c r="H182" i="9" s="1"/>
  <c r="C183" i="14" s="1"/>
  <c r="D183" i="14" s="1"/>
  <c r="B172" i="14"/>
  <c r="D172" i="14" s="1"/>
  <c r="B118" i="14"/>
  <c r="D118" i="14" s="1"/>
  <c r="B147" i="14"/>
  <c r="D147" i="14" s="1"/>
  <c r="B193" i="14"/>
  <c r="D193" i="14" s="1"/>
  <c r="B60" i="14"/>
  <c r="D60" i="14" s="1"/>
  <c r="B189" i="14"/>
  <c r="D189" i="14" s="1"/>
  <c r="B86" i="14"/>
  <c r="D86" i="14" s="1"/>
  <c r="B74" i="14"/>
  <c r="D74" i="14" s="1"/>
  <c r="B162" i="14"/>
  <c r="D162" i="14" s="1"/>
  <c r="R70" i="14"/>
  <c r="T70" i="14" s="1"/>
  <c r="R150" i="14"/>
  <c r="T150" i="14" s="1"/>
  <c r="W72" i="9"/>
  <c r="X72" i="9" s="1"/>
  <c r="S73" i="14" s="1"/>
  <c r="T73" i="14" s="1"/>
  <c r="W141" i="9"/>
  <c r="X141" i="9" s="1"/>
  <c r="S142" i="14" s="1"/>
  <c r="T142" i="14" s="1"/>
  <c r="W170" i="9"/>
  <c r="X170" i="9" s="1"/>
  <c r="S171" i="14" s="1"/>
  <c r="T171" i="14" s="1"/>
  <c r="R134" i="14"/>
  <c r="T134" i="14" s="1"/>
  <c r="R198" i="14"/>
  <c r="T198" i="14" s="1"/>
  <c r="R109" i="14"/>
  <c r="T109" i="14" s="1"/>
  <c r="R116" i="14"/>
  <c r="T116" i="14" s="1"/>
  <c r="R138" i="14"/>
  <c r="T138" i="14" s="1"/>
  <c r="R87" i="14"/>
  <c r="T87" i="14" s="1"/>
  <c r="R160" i="14"/>
  <c r="T160" i="14" s="1"/>
  <c r="R175" i="14"/>
  <c r="T175" i="14" s="1"/>
  <c r="N41" i="14"/>
  <c r="P41" i="14" s="1"/>
  <c r="N58" i="14"/>
  <c r="P58" i="14" s="1"/>
  <c r="N97" i="14"/>
  <c r="P97" i="14" s="1"/>
  <c r="N104" i="14"/>
  <c r="P104" i="14" s="1"/>
  <c r="N111" i="14"/>
  <c r="P111" i="14" s="1"/>
  <c r="N113" i="14"/>
  <c r="P113" i="14" s="1"/>
  <c r="N172" i="14"/>
  <c r="P172" i="14" s="1"/>
  <c r="S58" i="9"/>
  <c r="T58" i="9" s="1"/>
  <c r="O59" i="14" s="1"/>
  <c r="P59" i="14" s="1"/>
  <c r="S77" i="9"/>
  <c r="T77" i="9" s="1"/>
  <c r="O78" i="14" s="1"/>
  <c r="P78" i="14" s="1"/>
  <c r="S83" i="9"/>
  <c r="T83" i="9" s="1"/>
  <c r="O84" i="14" s="1"/>
  <c r="P84" i="14" s="1"/>
  <c r="S163" i="9"/>
  <c r="T163" i="9" s="1"/>
  <c r="O164" i="14" s="1"/>
  <c r="P164" i="14" s="1"/>
  <c r="N79" i="14"/>
  <c r="P79" i="14" s="1"/>
  <c r="N13" i="14"/>
  <c r="P13" i="14" s="1"/>
  <c r="N118" i="14"/>
  <c r="P118" i="14" s="1"/>
  <c r="N62" i="14"/>
  <c r="P62" i="14" s="1"/>
  <c r="N17" i="14"/>
  <c r="P17" i="14" s="1"/>
  <c r="N24" i="14"/>
  <c r="P24" i="14" s="1"/>
  <c r="N55" i="14"/>
  <c r="P55" i="14" s="1"/>
  <c r="J40" i="14"/>
  <c r="L40" i="14" s="1"/>
  <c r="J50" i="14"/>
  <c r="L50" i="14" s="1"/>
  <c r="J61" i="14"/>
  <c r="L61" i="14" s="1"/>
  <c r="J23" i="14"/>
  <c r="L23" i="14" s="1"/>
  <c r="J29" i="14"/>
  <c r="L29" i="14" s="1"/>
  <c r="J49" i="14"/>
  <c r="L49" i="14" s="1"/>
  <c r="J119" i="14"/>
  <c r="L119" i="14" s="1"/>
  <c r="J123" i="14"/>
  <c r="L123" i="14" s="1"/>
  <c r="J146" i="14"/>
  <c r="L146" i="14" s="1"/>
  <c r="O12" i="9"/>
  <c r="P12" i="9" s="1"/>
  <c r="K13" i="14" s="1"/>
  <c r="L13" i="14" s="1"/>
  <c r="O57" i="9"/>
  <c r="P57" i="9" s="1"/>
  <c r="K58" i="14" s="1"/>
  <c r="L58" i="14" s="1"/>
  <c r="O58" i="9"/>
  <c r="P58" i="9" s="1"/>
  <c r="K59" i="14" s="1"/>
  <c r="L59" i="14" s="1"/>
  <c r="O129" i="9"/>
  <c r="P129" i="9" s="1"/>
  <c r="K130" i="14" s="1"/>
  <c r="L130" i="14" s="1"/>
  <c r="O175" i="9"/>
  <c r="P175" i="9" s="1"/>
  <c r="K176" i="14" s="1"/>
  <c r="L176" i="14" s="1"/>
  <c r="O186" i="9"/>
  <c r="P186" i="9" s="1"/>
  <c r="K187" i="14" s="1"/>
  <c r="L187" i="14" s="1"/>
  <c r="J164" i="14"/>
  <c r="L164" i="14" s="1"/>
  <c r="J99" i="14"/>
  <c r="L99" i="14" s="1"/>
  <c r="O141" i="9"/>
  <c r="P141" i="9" s="1"/>
  <c r="K142" i="14" s="1"/>
  <c r="L142" i="14" s="1"/>
  <c r="J51" i="14"/>
  <c r="L51" i="14" s="1"/>
  <c r="J35" i="14"/>
  <c r="L35" i="14" s="1"/>
  <c r="J68" i="14"/>
  <c r="L68" i="14" s="1"/>
  <c r="J96" i="14"/>
  <c r="L96" i="14" s="1"/>
  <c r="J110" i="14"/>
  <c r="L110" i="14" s="1"/>
  <c r="J47" i="14"/>
  <c r="L47" i="14" s="1"/>
  <c r="F14" i="14"/>
  <c r="H14" i="14" s="1"/>
  <c r="F16" i="14"/>
  <c r="H16" i="14" s="1"/>
  <c r="H104" i="14"/>
  <c r="H139" i="14"/>
  <c r="H92" i="14"/>
  <c r="B143" i="14"/>
  <c r="D143" i="14" s="1"/>
  <c r="G12" i="9"/>
  <c r="H12" i="9" s="1"/>
  <c r="C13" i="14" s="1"/>
  <c r="D13" i="14" s="1"/>
  <c r="G32" i="9"/>
  <c r="H32" i="9" s="1"/>
  <c r="C33" i="14" s="1"/>
  <c r="D33" i="14" s="1"/>
  <c r="G94" i="9"/>
  <c r="H94" i="9" s="1"/>
  <c r="C95" i="14" s="1"/>
  <c r="D95" i="14" s="1"/>
  <c r="G112" i="9"/>
  <c r="H112" i="9" s="1"/>
  <c r="C113" i="14" s="1"/>
  <c r="D113" i="14" s="1"/>
  <c r="G136" i="9"/>
  <c r="H136" i="9" s="1"/>
  <c r="C137" i="14" s="1"/>
  <c r="D137" i="14" s="1"/>
  <c r="G148" i="9"/>
  <c r="H148" i="9" s="1"/>
  <c r="C149" i="14" s="1"/>
  <c r="D149" i="14" s="1"/>
  <c r="G156" i="9"/>
  <c r="H156" i="9" s="1"/>
  <c r="C157" i="14" s="1"/>
  <c r="D157" i="14" s="1"/>
  <c r="G184" i="9"/>
  <c r="H184" i="9" s="1"/>
  <c r="C185" i="14" s="1"/>
  <c r="D185" i="14" s="1"/>
  <c r="B34" i="14"/>
  <c r="D34" i="14" s="1"/>
  <c r="B90" i="14"/>
  <c r="D90" i="14" s="1"/>
  <c r="B18" i="14"/>
  <c r="D18" i="14" s="1"/>
  <c r="B25" i="14"/>
  <c r="D25" i="14" s="1"/>
  <c r="B58" i="14"/>
  <c r="D58" i="14" s="1"/>
  <c r="V92" i="14"/>
  <c r="X92" i="14" s="1"/>
  <c r="V112" i="14"/>
  <c r="X112" i="14" s="1"/>
  <c r="V64" i="14"/>
  <c r="X64" i="14" s="1"/>
  <c r="AA13" i="9"/>
  <c r="AB13" i="9" s="1"/>
  <c r="W14" i="14" s="1"/>
  <c r="X14" i="14" s="1"/>
  <c r="AA42" i="9"/>
  <c r="AB42" i="9" s="1"/>
  <c r="W43" i="14" s="1"/>
  <c r="X43" i="14" s="1"/>
  <c r="AA60" i="9"/>
  <c r="AB60" i="9" s="1"/>
  <c r="W61" i="14" s="1"/>
  <c r="X61" i="14" s="1"/>
  <c r="AA64" i="9"/>
  <c r="AB64" i="9" s="1"/>
  <c r="W65" i="14" s="1"/>
  <c r="X65" i="14" s="1"/>
  <c r="AA93" i="9"/>
  <c r="AB93" i="9" s="1"/>
  <c r="W94" i="14" s="1"/>
  <c r="X94" i="14" s="1"/>
  <c r="AA95" i="9"/>
  <c r="AB95" i="9" s="1"/>
  <c r="W96" i="14" s="1"/>
  <c r="X96" i="14" s="1"/>
  <c r="AA106" i="9"/>
  <c r="AB106" i="9" s="1"/>
  <c r="W107" i="14" s="1"/>
  <c r="X107" i="14" s="1"/>
  <c r="AA113" i="9"/>
  <c r="AB113" i="9" s="1"/>
  <c r="W114" i="14" s="1"/>
  <c r="X114" i="14" s="1"/>
  <c r="AA144" i="9"/>
  <c r="AB144" i="9" s="1"/>
  <c r="W145" i="14" s="1"/>
  <c r="X145" i="14" s="1"/>
  <c r="AA151" i="9"/>
  <c r="AB151" i="9" s="1"/>
  <c r="W152" i="14" s="1"/>
  <c r="X152" i="14" s="1"/>
  <c r="AA197" i="9"/>
  <c r="AB197" i="9" s="1"/>
  <c r="W198" i="14" s="1"/>
  <c r="X198" i="14" s="1"/>
  <c r="R19" i="14"/>
  <c r="T19" i="14" s="1"/>
  <c r="W33" i="9"/>
  <c r="X33" i="9" s="1"/>
  <c r="S34" i="14" s="1"/>
  <c r="T34" i="14" s="1"/>
  <c r="W41" i="9"/>
  <c r="X41" i="9" s="1"/>
  <c r="S42" i="14" s="1"/>
  <c r="T42" i="14" s="1"/>
  <c r="W52" i="9"/>
  <c r="X52" i="9" s="1"/>
  <c r="S53" i="14" s="1"/>
  <c r="T53" i="14" s="1"/>
  <c r="W54" i="9"/>
  <c r="X54" i="9" s="1"/>
  <c r="S55" i="14" s="1"/>
  <c r="T55" i="14" s="1"/>
  <c r="W55" i="9"/>
  <c r="X55" i="9" s="1"/>
  <c r="S56" i="14" s="1"/>
  <c r="T56" i="14" s="1"/>
  <c r="W56" i="9"/>
  <c r="X56" i="9" s="1"/>
  <c r="S57" i="14" s="1"/>
  <c r="T57" i="14" s="1"/>
  <c r="W70" i="9"/>
  <c r="X70" i="9" s="1"/>
  <c r="S71" i="14" s="1"/>
  <c r="T71" i="14" s="1"/>
  <c r="W73" i="9"/>
  <c r="X73" i="9" s="1"/>
  <c r="S74" i="14" s="1"/>
  <c r="T74" i="14" s="1"/>
  <c r="W83" i="9"/>
  <c r="X83" i="9" s="1"/>
  <c r="S84" i="14" s="1"/>
  <c r="T84" i="14" s="1"/>
  <c r="W94" i="9"/>
  <c r="X94" i="9" s="1"/>
  <c r="S95" i="14" s="1"/>
  <c r="T95" i="14" s="1"/>
  <c r="W102" i="9"/>
  <c r="X102" i="9" s="1"/>
  <c r="S103" i="14" s="1"/>
  <c r="T103" i="14" s="1"/>
  <c r="W103" i="9"/>
  <c r="X103" i="9" s="1"/>
  <c r="S104" i="14" s="1"/>
  <c r="T104" i="14" s="1"/>
  <c r="W111" i="9"/>
  <c r="X111" i="9" s="1"/>
  <c r="S112" i="14" s="1"/>
  <c r="T112" i="14" s="1"/>
  <c r="W125" i="9"/>
  <c r="X125" i="9" s="1"/>
  <c r="S126" i="14" s="1"/>
  <c r="T126" i="14" s="1"/>
  <c r="W139" i="9"/>
  <c r="X139" i="9" s="1"/>
  <c r="S140" i="14" s="1"/>
  <c r="T140" i="14" s="1"/>
  <c r="W154" i="9"/>
  <c r="X154" i="9" s="1"/>
  <c r="S155" i="14" s="1"/>
  <c r="T155" i="14" s="1"/>
  <c r="W157" i="9"/>
  <c r="X157" i="9" s="1"/>
  <c r="S158" i="14" s="1"/>
  <c r="T158" i="14" s="1"/>
  <c r="W163" i="9"/>
  <c r="X163" i="9" s="1"/>
  <c r="S164" i="14" s="1"/>
  <c r="T164" i="14" s="1"/>
  <c r="W168" i="9"/>
  <c r="X168" i="9" s="1"/>
  <c r="S169" i="14" s="1"/>
  <c r="T169" i="14" s="1"/>
  <c r="W190" i="9"/>
  <c r="X190" i="9" s="1"/>
  <c r="S191" i="14" s="1"/>
  <c r="T191" i="14" s="1"/>
  <c r="W191" i="9"/>
  <c r="X191" i="9" s="1"/>
  <c r="S192" i="14" s="1"/>
  <c r="T192" i="14" s="1"/>
  <c r="R14" i="14"/>
  <c r="T14" i="14" s="1"/>
  <c r="S113" i="9"/>
  <c r="T113" i="9" s="1"/>
  <c r="O114" i="14" s="1"/>
  <c r="N114" i="14"/>
  <c r="N195" i="14"/>
  <c r="S194" i="9"/>
  <c r="T194" i="9" s="1"/>
  <c r="O195" i="14" s="1"/>
  <c r="N45" i="14"/>
  <c r="S44" i="9"/>
  <c r="T44" i="9" s="1"/>
  <c r="O45" i="14" s="1"/>
  <c r="N90" i="14"/>
  <c r="S89" i="9"/>
  <c r="T89" i="9" s="1"/>
  <c r="O90" i="14" s="1"/>
  <c r="N133" i="14"/>
  <c r="S132" i="9"/>
  <c r="T132" i="9" s="1"/>
  <c r="O133" i="14" s="1"/>
  <c r="N175" i="14"/>
  <c r="S174" i="9"/>
  <c r="T174" i="9" s="1"/>
  <c r="O175" i="14" s="1"/>
  <c r="N201" i="14"/>
  <c r="S200" i="9"/>
  <c r="T200" i="9" s="1"/>
  <c r="O201" i="14" s="1"/>
  <c r="N65" i="14"/>
  <c r="S64" i="9"/>
  <c r="T64" i="9" s="1"/>
  <c r="O65" i="14" s="1"/>
  <c r="N72" i="14"/>
  <c r="S71" i="9"/>
  <c r="T71" i="9" s="1"/>
  <c r="O72" i="14" s="1"/>
  <c r="N139" i="14"/>
  <c r="S138" i="9"/>
  <c r="T138" i="9" s="1"/>
  <c r="O139" i="14" s="1"/>
  <c r="N56" i="14"/>
  <c r="S55" i="9"/>
  <c r="T55" i="9" s="1"/>
  <c r="O56" i="14" s="1"/>
  <c r="N165" i="14"/>
  <c r="S164" i="9"/>
  <c r="T164" i="9" s="1"/>
  <c r="O165" i="14" s="1"/>
  <c r="S50" i="9"/>
  <c r="T50" i="9" s="1"/>
  <c r="O51" i="14" s="1"/>
  <c r="P51" i="14" s="1"/>
  <c r="S65" i="9"/>
  <c r="T65" i="9" s="1"/>
  <c r="O66" i="14" s="1"/>
  <c r="P66" i="14" s="1"/>
  <c r="S75" i="9"/>
  <c r="T75" i="9" s="1"/>
  <c r="O76" i="14" s="1"/>
  <c r="P76" i="14" s="1"/>
  <c r="S94" i="9"/>
  <c r="T94" i="9" s="1"/>
  <c r="O95" i="14" s="1"/>
  <c r="P95" i="14" s="1"/>
  <c r="S144" i="9"/>
  <c r="T144" i="9" s="1"/>
  <c r="O145" i="14" s="1"/>
  <c r="P145" i="14" s="1"/>
  <c r="S165" i="9"/>
  <c r="T165" i="9" s="1"/>
  <c r="O166" i="14" s="1"/>
  <c r="P166" i="14" s="1"/>
  <c r="S170" i="9"/>
  <c r="T170" i="9" s="1"/>
  <c r="O171" i="14" s="1"/>
  <c r="P171" i="14" s="1"/>
  <c r="S189" i="9"/>
  <c r="T189" i="9" s="1"/>
  <c r="O190" i="14" s="1"/>
  <c r="P190" i="14" s="1"/>
  <c r="J87" i="14"/>
  <c r="L87" i="14" s="1"/>
  <c r="J114" i="14"/>
  <c r="L114" i="14" s="1"/>
  <c r="J138" i="14"/>
  <c r="L138" i="14" s="1"/>
  <c r="J150" i="14"/>
  <c r="L150" i="14" s="1"/>
  <c r="J14" i="14"/>
  <c r="L14" i="14" s="1"/>
  <c r="J31" i="14"/>
  <c r="L31" i="14" s="1"/>
  <c r="J73" i="14"/>
  <c r="L73" i="14" s="1"/>
  <c r="J177" i="14"/>
  <c r="L177" i="14" s="1"/>
  <c r="O19" i="9"/>
  <c r="P19" i="9" s="1"/>
  <c r="K20" i="14" s="1"/>
  <c r="L20" i="14" s="1"/>
  <c r="O25" i="9"/>
  <c r="P25" i="9" s="1"/>
  <c r="K26" i="14" s="1"/>
  <c r="L26" i="14" s="1"/>
  <c r="O27" i="9"/>
  <c r="P27" i="9" s="1"/>
  <c r="K28" i="14" s="1"/>
  <c r="L28" i="14" s="1"/>
  <c r="O33" i="9"/>
  <c r="P33" i="9" s="1"/>
  <c r="K34" i="14" s="1"/>
  <c r="L34" i="14" s="1"/>
  <c r="O51" i="9"/>
  <c r="P51" i="9" s="1"/>
  <c r="K52" i="14" s="1"/>
  <c r="L52" i="14" s="1"/>
  <c r="O101" i="9"/>
  <c r="P101" i="9" s="1"/>
  <c r="K102" i="14" s="1"/>
  <c r="L102" i="14" s="1"/>
  <c r="O116" i="9"/>
  <c r="P116" i="9" s="1"/>
  <c r="K117" i="14" s="1"/>
  <c r="L117" i="14" s="1"/>
  <c r="O130" i="9"/>
  <c r="P130" i="9" s="1"/>
  <c r="K131" i="14" s="1"/>
  <c r="L131" i="14" s="1"/>
  <c r="O158" i="9"/>
  <c r="P158" i="9" s="1"/>
  <c r="K159" i="14" s="1"/>
  <c r="L159" i="14" s="1"/>
  <c r="O164" i="9"/>
  <c r="P164" i="9" s="1"/>
  <c r="K165" i="14" s="1"/>
  <c r="L165" i="14" s="1"/>
  <c r="O170" i="9"/>
  <c r="P170" i="9" s="1"/>
  <c r="K171" i="14" s="1"/>
  <c r="L171" i="14" s="1"/>
  <c r="O81" i="9"/>
  <c r="P81" i="9" s="1"/>
  <c r="K82" i="14" s="1"/>
  <c r="L82" i="14" s="1"/>
  <c r="O143" i="9"/>
  <c r="P143" i="9" s="1"/>
  <c r="K144" i="14" s="1"/>
  <c r="L144" i="14" s="1"/>
  <c r="O155" i="9"/>
  <c r="P155" i="9" s="1"/>
  <c r="K156" i="14" s="1"/>
  <c r="L156" i="14" s="1"/>
  <c r="P65" i="14" l="1"/>
  <c r="P133" i="14"/>
  <c r="P72" i="14"/>
  <c r="P165" i="14"/>
  <c r="P90" i="14"/>
  <c r="P139" i="14"/>
  <c r="P195" i="14"/>
  <c r="P175" i="14"/>
  <c r="P56" i="14"/>
  <c r="P114" i="14"/>
  <c r="P201" i="14"/>
  <c r="P45" i="14"/>
</calcChain>
</file>

<file path=xl/sharedStrings.xml><?xml version="1.0" encoding="utf-8"?>
<sst xmlns="http://schemas.openxmlformats.org/spreadsheetml/2006/main" count="111" uniqueCount="37">
  <si>
    <t xml:space="preserve"> </t>
  </si>
  <si>
    <t xml:space="preserve"> RPM</t>
  </si>
  <si>
    <t>RPM</t>
  </si>
  <si>
    <t>Transmission
Efficiency</t>
  </si>
  <si>
    <t>VI Gear Ratio</t>
  </si>
  <si>
    <t>Diff Ratio</t>
  </si>
  <si>
    <t>Vehicle Speed [km/h]</t>
  </si>
  <si>
    <t>Engine Torque [Nm]</t>
  </si>
  <si>
    <t>Engine Power [HP]</t>
  </si>
  <si>
    <t>Power to Wheels [HP]</t>
  </si>
  <si>
    <t>A = 50</t>
  </si>
  <si>
    <t>Resisting Power [HP]</t>
  </si>
  <si>
    <t>285/30 R19</t>
  </si>
  <si>
    <t>Tyres</t>
  </si>
  <si>
    <t>B = 0.5272</t>
  </si>
  <si>
    <r>
      <t>P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= Av + Bv</t>
    </r>
    <r>
      <rPr>
        <vertAlign val="superscript"/>
        <sz val="11"/>
        <color theme="1"/>
        <rFont val="Calibri"/>
        <family val="2"/>
        <scheme val="minor"/>
      </rPr>
      <t>3</t>
    </r>
  </si>
  <si>
    <t>Differential Ratio</t>
  </si>
  <si>
    <t>PARAMETERS</t>
  </si>
  <si>
    <t>A</t>
  </si>
  <si>
    <t>B</t>
  </si>
  <si>
    <t>Vehicle Data</t>
  </si>
  <si>
    <t>Excess Power [HP]</t>
  </si>
  <si>
    <t>II Gear Ratio</t>
  </si>
  <si>
    <t>I Gear Ratio</t>
  </si>
  <si>
    <t>III Gear Ratio</t>
  </si>
  <si>
    <t>IV Gear Ratio</t>
  </si>
  <si>
    <t>V Gear Ratio</t>
  </si>
  <si>
    <t>Time [s]</t>
  </si>
  <si>
    <t>Vehicle Weight</t>
  </si>
  <si>
    <t>I Gear</t>
  </si>
  <si>
    <t>II Gear</t>
  </si>
  <si>
    <t>III Gear</t>
  </si>
  <si>
    <t>IV Gear</t>
  </si>
  <si>
    <t>V Gear</t>
  </si>
  <si>
    <t>VI Gear</t>
  </si>
  <si>
    <t>APPARENT MASS</t>
  </si>
  <si>
    <t>Acceleration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</si>
</sst>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000"/>
    <numFmt numFmtId="166" formatCode="0.0000"/>
    <numFmt numFmtId="167" formatCode="0.00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D1D5DB"/>
      <name val="Segoe U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2" borderId="0" xfId="0" applyFill="1"/>
    <xf numFmtId="0" fontId="2" fillId="0" borderId="0" xfId="0" applyFont="1"/>
    <xf numFmtId="0" fontId="0" fillId="0" borderId="0" xfId="0" applyAlignment="1">
      <alignment horizontal="right"/>
    </xf>
    <xf numFmtId="2" fontId="0" fillId="0" borderId="0" xfId="0" applyNumberFormat="1"/>
    <xf numFmtId="0" fontId="1" fillId="0" borderId="0" xfId="0" applyFont="1" applyAlignment="1">
      <alignment horizontal="right"/>
    </xf>
    <xf numFmtId="0" fontId="3" fillId="0" borderId="0" xfId="0" applyFont="1"/>
    <xf numFmtId="0" fontId="1" fillId="0" borderId="1" xfId="0" applyFont="1" applyBorder="1" applyAlignment="1">
      <alignment horizontal="left" wrapText="1"/>
    </xf>
    <xf numFmtId="0" fontId="0" fillId="0" borderId="1" xfId="0" applyBorder="1" applyAlignment="1">
      <alignment horizontal="right" vertical="center"/>
    </xf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wrapText="1"/>
    </xf>
    <xf numFmtId="2" fontId="0" fillId="2" borderId="0" xfId="0" applyNumberFormat="1" applyFill="1"/>
    <xf numFmtId="0" fontId="0" fillId="2" borderId="1" xfId="0" applyFill="1" applyBorder="1"/>
    <xf numFmtId="166" fontId="0" fillId="2" borderId="0" xfId="0" applyNumberFormat="1" applyFill="1"/>
    <xf numFmtId="164" fontId="0" fillId="0" borderId="1" xfId="0" applyNumberFormat="1" applyBorder="1"/>
    <xf numFmtId="0" fontId="0" fillId="0" borderId="1" xfId="0" applyBorder="1" applyAlignment="1">
      <alignment horizontal="right"/>
    </xf>
    <xf numFmtId="0" fontId="0" fillId="3" borderId="1" xfId="0" applyFill="1" applyBorder="1"/>
    <xf numFmtId="164" fontId="0" fillId="0" borderId="2" xfId="0" applyNumberFormat="1" applyBorder="1"/>
    <xf numFmtId="2" fontId="0" fillId="0" borderId="1" xfId="0" applyNumberFormat="1" applyBorder="1"/>
    <xf numFmtId="0" fontId="1" fillId="0" borderId="1" xfId="0" applyFont="1" applyBorder="1" applyAlignment="1">
      <alignment horizontal="right"/>
    </xf>
    <xf numFmtId="0" fontId="0" fillId="5" borderId="1" xfId="0" applyFill="1" applyBorder="1"/>
    <xf numFmtId="2" fontId="0" fillId="2" borderId="1" xfId="0" applyNumberFormat="1" applyFill="1" applyBorder="1"/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2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right" vertical="center"/>
    </xf>
    <xf numFmtId="0" fontId="9" fillId="0" borderId="1" xfId="0" applyFont="1" applyBorder="1" applyAlignment="1">
      <alignment horizontal="right"/>
    </xf>
    <xf numFmtId="0" fontId="9" fillId="0" borderId="1" xfId="0" applyFont="1" applyBorder="1"/>
    <xf numFmtId="0" fontId="9" fillId="0" borderId="1" xfId="0" applyFont="1" applyBorder="1" applyAlignment="1">
      <alignment vertical="center"/>
    </xf>
    <xf numFmtId="165" fontId="0" fillId="7" borderId="1" xfId="0" applyNumberFormat="1" applyFill="1" applyBorder="1"/>
    <xf numFmtId="167" fontId="0" fillId="0" borderId="1" xfId="0" applyNumberFormat="1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GB"/>
              <a:t>Alfa Romeo Giulia Quadrifoglio 2.9 V6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v>Power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'Engine Data'!$B$4:$B$193</c:f>
              <c:numCache>
                <c:formatCode>General</c:formatCode>
                <c:ptCount val="190"/>
                <c:pt idx="0">
                  <c:v>1000.4</c:v>
                </c:pt>
                <c:pt idx="1">
                  <c:v>1011.52</c:v>
                </c:pt>
                <c:pt idx="2">
                  <c:v>1033.76</c:v>
                </c:pt>
                <c:pt idx="3">
                  <c:v>1050.44</c:v>
                </c:pt>
                <c:pt idx="4">
                  <c:v>1072.68</c:v>
                </c:pt>
                <c:pt idx="5">
                  <c:v>1089.3599999999999</c:v>
                </c:pt>
                <c:pt idx="6">
                  <c:v>1106.04</c:v>
                </c:pt>
                <c:pt idx="7">
                  <c:v>1128.28</c:v>
                </c:pt>
                <c:pt idx="8">
                  <c:v>1150.52</c:v>
                </c:pt>
                <c:pt idx="9">
                  <c:v>1167.2</c:v>
                </c:pt>
                <c:pt idx="10">
                  <c:v>1183.8800000000001</c:v>
                </c:pt>
                <c:pt idx="11">
                  <c:v>1206.1199999999999</c:v>
                </c:pt>
                <c:pt idx="12">
                  <c:v>1222.8</c:v>
                </c:pt>
                <c:pt idx="13">
                  <c:v>1239.48</c:v>
                </c:pt>
                <c:pt idx="14">
                  <c:v>1261.72</c:v>
                </c:pt>
                <c:pt idx="15">
                  <c:v>1278.4000000000001</c:v>
                </c:pt>
                <c:pt idx="16">
                  <c:v>1306.2</c:v>
                </c:pt>
                <c:pt idx="17">
                  <c:v>1334</c:v>
                </c:pt>
                <c:pt idx="18">
                  <c:v>1361.8</c:v>
                </c:pt>
                <c:pt idx="19">
                  <c:v>1384.03</c:v>
                </c:pt>
                <c:pt idx="20">
                  <c:v>1406.27</c:v>
                </c:pt>
                <c:pt idx="21">
                  <c:v>1422.95</c:v>
                </c:pt>
                <c:pt idx="22">
                  <c:v>1445.19</c:v>
                </c:pt>
                <c:pt idx="23">
                  <c:v>1461.87</c:v>
                </c:pt>
                <c:pt idx="24">
                  <c:v>1484.11</c:v>
                </c:pt>
                <c:pt idx="25">
                  <c:v>1500.79</c:v>
                </c:pt>
                <c:pt idx="26">
                  <c:v>1511.91</c:v>
                </c:pt>
                <c:pt idx="27">
                  <c:v>1534.15</c:v>
                </c:pt>
                <c:pt idx="28">
                  <c:v>1550.83</c:v>
                </c:pt>
                <c:pt idx="29">
                  <c:v>1567.51</c:v>
                </c:pt>
                <c:pt idx="30">
                  <c:v>1584.19</c:v>
                </c:pt>
                <c:pt idx="31">
                  <c:v>1606.43</c:v>
                </c:pt>
                <c:pt idx="32">
                  <c:v>1623.11</c:v>
                </c:pt>
                <c:pt idx="33">
                  <c:v>1639.79</c:v>
                </c:pt>
                <c:pt idx="34">
                  <c:v>1667.59</c:v>
                </c:pt>
                <c:pt idx="35">
                  <c:v>1695.39</c:v>
                </c:pt>
                <c:pt idx="36">
                  <c:v>1717.63</c:v>
                </c:pt>
                <c:pt idx="37">
                  <c:v>1739.87</c:v>
                </c:pt>
                <c:pt idx="38">
                  <c:v>1762.11</c:v>
                </c:pt>
                <c:pt idx="39">
                  <c:v>1778.79</c:v>
                </c:pt>
                <c:pt idx="40">
                  <c:v>1795.47</c:v>
                </c:pt>
                <c:pt idx="41">
                  <c:v>1806.59</c:v>
                </c:pt>
                <c:pt idx="42">
                  <c:v>1817.71</c:v>
                </c:pt>
                <c:pt idx="43">
                  <c:v>1828.83</c:v>
                </c:pt>
                <c:pt idx="44">
                  <c:v>1845.51</c:v>
                </c:pt>
                <c:pt idx="45">
                  <c:v>1851.07</c:v>
                </c:pt>
                <c:pt idx="46">
                  <c:v>1867.75</c:v>
                </c:pt>
                <c:pt idx="47">
                  <c:v>1889.99</c:v>
                </c:pt>
                <c:pt idx="48">
                  <c:v>1906.67</c:v>
                </c:pt>
                <c:pt idx="49">
                  <c:v>1923.35</c:v>
                </c:pt>
                <c:pt idx="50">
                  <c:v>1945.59</c:v>
                </c:pt>
                <c:pt idx="51">
                  <c:v>1956.71</c:v>
                </c:pt>
                <c:pt idx="52">
                  <c:v>1973.39</c:v>
                </c:pt>
                <c:pt idx="53">
                  <c:v>1984.51</c:v>
                </c:pt>
                <c:pt idx="54">
                  <c:v>2001.19</c:v>
                </c:pt>
                <c:pt idx="55">
                  <c:v>2017.87</c:v>
                </c:pt>
                <c:pt idx="56">
                  <c:v>2034.55</c:v>
                </c:pt>
                <c:pt idx="57">
                  <c:v>2051.23</c:v>
                </c:pt>
                <c:pt idx="58">
                  <c:v>2067.91</c:v>
                </c:pt>
                <c:pt idx="59">
                  <c:v>2084.59</c:v>
                </c:pt>
                <c:pt idx="60">
                  <c:v>2106.83</c:v>
                </c:pt>
                <c:pt idx="61">
                  <c:v>2123.5100000000002</c:v>
                </c:pt>
                <c:pt idx="62">
                  <c:v>2145.75</c:v>
                </c:pt>
                <c:pt idx="63">
                  <c:v>2167.9899999999998</c:v>
                </c:pt>
                <c:pt idx="64">
                  <c:v>2195.79</c:v>
                </c:pt>
                <c:pt idx="65">
                  <c:v>2206.91</c:v>
                </c:pt>
                <c:pt idx="66">
                  <c:v>2223.59</c:v>
                </c:pt>
                <c:pt idx="67">
                  <c:v>2240.27</c:v>
                </c:pt>
                <c:pt idx="68">
                  <c:v>2262.5100000000002</c:v>
                </c:pt>
                <c:pt idx="69">
                  <c:v>2290.31</c:v>
                </c:pt>
                <c:pt idx="70">
                  <c:v>2312.5500000000002</c:v>
                </c:pt>
                <c:pt idx="71">
                  <c:v>2345.91</c:v>
                </c:pt>
                <c:pt idx="72">
                  <c:v>2368.15</c:v>
                </c:pt>
                <c:pt idx="73">
                  <c:v>2390.39</c:v>
                </c:pt>
                <c:pt idx="74">
                  <c:v>2407.0700000000002</c:v>
                </c:pt>
                <c:pt idx="75">
                  <c:v>2423.75</c:v>
                </c:pt>
                <c:pt idx="76">
                  <c:v>2445.9899999999998</c:v>
                </c:pt>
                <c:pt idx="77">
                  <c:v>2479.35</c:v>
                </c:pt>
                <c:pt idx="78">
                  <c:v>2518.27</c:v>
                </c:pt>
                <c:pt idx="79">
                  <c:v>2551.63</c:v>
                </c:pt>
                <c:pt idx="80">
                  <c:v>2590.5500000000002</c:v>
                </c:pt>
                <c:pt idx="81">
                  <c:v>2623.91</c:v>
                </c:pt>
                <c:pt idx="82">
                  <c:v>2662.83</c:v>
                </c:pt>
                <c:pt idx="83">
                  <c:v>2701.75</c:v>
                </c:pt>
                <c:pt idx="84">
                  <c:v>2751.79</c:v>
                </c:pt>
                <c:pt idx="85">
                  <c:v>2796.27</c:v>
                </c:pt>
                <c:pt idx="86">
                  <c:v>2835.19</c:v>
                </c:pt>
                <c:pt idx="87">
                  <c:v>2868.55</c:v>
                </c:pt>
                <c:pt idx="88">
                  <c:v>2890.79</c:v>
                </c:pt>
                <c:pt idx="89">
                  <c:v>2924.15</c:v>
                </c:pt>
                <c:pt idx="90">
                  <c:v>2963.07</c:v>
                </c:pt>
                <c:pt idx="91">
                  <c:v>3013.11</c:v>
                </c:pt>
                <c:pt idx="92">
                  <c:v>3040.91</c:v>
                </c:pt>
                <c:pt idx="93">
                  <c:v>3085.39</c:v>
                </c:pt>
                <c:pt idx="94">
                  <c:v>3129.86</c:v>
                </c:pt>
                <c:pt idx="95">
                  <c:v>3168.78</c:v>
                </c:pt>
                <c:pt idx="96">
                  <c:v>3207.7</c:v>
                </c:pt>
                <c:pt idx="97">
                  <c:v>3252.18</c:v>
                </c:pt>
                <c:pt idx="98">
                  <c:v>3296.66</c:v>
                </c:pt>
                <c:pt idx="99">
                  <c:v>3346.7</c:v>
                </c:pt>
                <c:pt idx="100">
                  <c:v>3391.18</c:v>
                </c:pt>
                <c:pt idx="101">
                  <c:v>3430.1</c:v>
                </c:pt>
                <c:pt idx="102">
                  <c:v>3480.14</c:v>
                </c:pt>
                <c:pt idx="103">
                  <c:v>3513.5</c:v>
                </c:pt>
                <c:pt idx="104">
                  <c:v>3557.98</c:v>
                </c:pt>
                <c:pt idx="105">
                  <c:v>3596.9</c:v>
                </c:pt>
                <c:pt idx="106">
                  <c:v>3641.38</c:v>
                </c:pt>
                <c:pt idx="107">
                  <c:v>3680.3</c:v>
                </c:pt>
                <c:pt idx="108">
                  <c:v>3708.1</c:v>
                </c:pt>
                <c:pt idx="109">
                  <c:v>3724.78</c:v>
                </c:pt>
                <c:pt idx="110">
                  <c:v>3752.58</c:v>
                </c:pt>
                <c:pt idx="111">
                  <c:v>3791.5</c:v>
                </c:pt>
                <c:pt idx="112">
                  <c:v>3813.74</c:v>
                </c:pt>
                <c:pt idx="113">
                  <c:v>3847.1</c:v>
                </c:pt>
                <c:pt idx="114">
                  <c:v>3891.58</c:v>
                </c:pt>
                <c:pt idx="115">
                  <c:v>3941.62</c:v>
                </c:pt>
                <c:pt idx="116">
                  <c:v>3980.54</c:v>
                </c:pt>
                <c:pt idx="117">
                  <c:v>4030.58</c:v>
                </c:pt>
                <c:pt idx="118">
                  <c:v>4069.5</c:v>
                </c:pt>
                <c:pt idx="119">
                  <c:v>4108.42</c:v>
                </c:pt>
                <c:pt idx="120">
                  <c:v>4147.34</c:v>
                </c:pt>
                <c:pt idx="121">
                  <c:v>4197.38</c:v>
                </c:pt>
                <c:pt idx="122">
                  <c:v>4252.9799999999996</c:v>
                </c:pt>
                <c:pt idx="123">
                  <c:v>4291.8999999999996</c:v>
                </c:pt>
                <c:pt idx="124">
                  <c:v>4330.82</c:v>
                </c:pt>
                <c:pt idx="125">
                  <c:v>4375.3</c:v>
                </c:pt>
                <c:pt idx="126">
                  <c:v>4425.34</c:v>
                </c:pt>
                <c:pt idx="127">
                  <c:v>4458.7</c:v>
                </c:pt>
                <c:pt idx="128">
                  <c:v>4503.18</c:v>
                </c:pt>
                <c:pt idx="129">
                  <c:v>4542.1000000000004</c:v>
                </c:pt>
                <c:pt idx="130">
                  <c:v>4575.46</c:v>
                </c:pt>
                <c:pt idx="131">
                  <c:v>4608.82</c:v>
                </c:pt>
                <c:pt idx="132">
                  <c:v>4642.18</c:v>
                </c:pt>
                <c:pt idx="133">
                  <c:v>4681.1000000000004</c:v>
                </c:pt>
                <c:pt idx="134">
                  <c:v>4708.8999999999996</c:v>
                </c:pt>
                <c:pt idx="135">
                  <c:v>4753.38</c:v>
                </c:pt>
                <c:pt idx="136">
                  <c:v>4781.18</c:v>
                </c:pt>
                <c:pt idx="137">
                  <c:v>4820.1000000000004</c:v>
                </c:pt>
                <c:pt idx="138">
                  <c:v>4864.58</c:v>
                </c:pt>
                <c:pt idx="139">
                  <c:v>4892.37</c:v>
                </c:pt>
                <c:pt idx="140">
                  <c:v>4931.29</c:v>
                </c:pt>
                <c:pt idx="141">
                  <c:v>4975.7700000000004</c:v>
                </c:pt>
                <c:pt idx="142">
                  <c:v>5014.6899999999996</c:v>
                </c:pt>
                <c:pt idx="143">
                  <c:v>5053.6099999999997</c:v>
                </c:pt>
                <c:pt idx="144">
                  <c:v>5092.53</c:v>
                </c:pt>
                <c:pt idx="145">
                  <c:v>5131.45</c:v>
                </c:pt>
                <c:pt idx="146">
                  <c:v>5164.8100000000004</c:v>
                </c:pt>
                <c:pt idx="147">
                  <c:v>5209.29</c:v>
                </c:pt>
                <c:pt idx="148">
                  <c:v>5253.77</c:v>
                </c:pt>
                <c:pt idx="149">
                  <c:v>5292.69</c:v>
                </c:pt>
                <c:pt idx="150">
                  <c:v>5331.61</c:v>
                </c:pt>
                <c:pt idx="151">
                  <c:v>5376.09</c:v>
                </c:pt>
                <c:pt idx="152">
                  <c:v>5420.57</c:v>
                </c:pt>
                <c:pt idx="153">
                  <c:v>5465.05</c:v>
                </c:pt>
                <c:pt idx="154">
                  <c:v>5515.09</c:v>
                </c:pt>
                <c:pt idx="155">
                  <c:v>5559.57</c:v>
                </c:pt>
                <c:pt idx="156">
                  <c:v>5598.49</c:v>
                </c:pt>
                <c:pt idx="157">
                  <c:v>5648.53</c:v>
                </c:pt>
                <c:pt idx="158">
                  <c:v>5681.89</c:v>
                </c:pt>
                <c:pt idx="159">
                  <c:v>5720.81</c:v>
                </c:pt>
                <c:pt idx="160">
                  <c:v>5759.73</c:v>
                </c:pt>
                <c:pt idx="161">
                  <c:v>5793.09</c:v>
                </c:pt>
                <c:pt idx="162">
                  <c:v>5832.01</c:v>
                </c:pt>
                <c:pt idx="163">
                  <c:v>5870.93</c:v>
                </c:pt>
                <c:pt idx="164">
                  <c:v>5909.85</c:v>
                </c:pt>
                <c:pt idx="165">
                  <c:v>5948.77</c:v>
                </c:pt>
                <c:pt idx="166">
                  <c:v>5998.81</c:v>
                </c:pt>
                <c:pt idx="167">
                  <c:v>6032.17</c:v>
                </c:pt>
                <c:pt idx="168">
                  <c:v>6076.65</c:v>
                </c:pt>
                <c:pt idx="169">
                  <c:v>6132.25</c:v>
                </c:pt>
                <c:pt idx="170">
                  <c:v>6198.97</c:v>
                </c:pt>
                <c:pt idx="171">
                  <c:v>6243.45</c:v>
                </c:pt>
                <c:pt idx="172">
                  <c:v>6276.81</c:v>
                </c:pt>
                <c:pt idx="173">
                  <c:v>6293.49</c:v>
                </c:pt>
                <c:pt idx="174">
                  <c:v>6315.73</c:v>
                </c:pt>
                <c:pt idx="175">
                  <c:v>6337.97</c:v>
                </c:pt>
                <c:pt idx="176">
                  <c:v>6354.65</c:v>
                </c:pt>
                <c:pt idx="177">
                  <c:v>6388.01</c:v>
                </c:pt>
                <c:pt idx="178">
                  <c:v>6421.37</c:v>
                </c:pt>
                <c:pt idx="179">
                  <c:v>6449.17</c:v>
                </c:pt>
                <c:pt idx="180">
                  <c:v>6476.97</c:v>
                </c:pt>
                <c:pt idx="181">
                  <c:v>6515.89</c:v>
                </c:pt>
                <c:pt idx="182">
                  <c:v>6543.69</c:v>
                </c:pt>
                <c:pt idx="183">
                  <c:v>6577.05</c:v>
                </c:pt>
                <c:pt idx="184">
                  <c:v>6610.41</c:v>
                </c:pt>
                <c:pt idx="185">
                  <c:v>6643.76</c:v>
                </c:pt>
                <c:pt idx="186">
                  <c:v>6682.68</c:v>
                </c:pt>
                <c:pt idx="187">
                  <c:v>6710.48</c:v>
                </c:pt>
                <c:pt idx="188">
                  <c:v>6754.96</c:v>
                </c:pt>
                <c:pt idx="189">
                  <c:v>6782.76</c:v>
                </c:pt>
              </c:numCache>
            </c:numRef>
          </c:xVal>
          <c:yVal>
            <c:numRef>
              <c:f>'Engine Data'!$C$4:$C$193</c:f>
              <c:numCache>
                <c:formatCode>General</c:formatCode>
                <c:ptCount val="190"/>
                <c:pt idx="0">
                  <c:v>40.7273</c:v>
                </c:pt>
                <c:pt idx="1">
                  <c:v>42.181800000000003</c:v>
                </c:pt>
                <c:pt idx="2">
                  <c:v>44.363599999999998</c:v>
                </c:pt>
                <c:pt idx="3">
                  <c:v>45.818199999999997</c:v>
                </c:pt>
                <c:pt idx="4">
                  <c:v>48</c:v>
                </c:pt>
                <c:pt idx="5">
                  <c:v>49.454500000000003</c:v>
                </c:pt>
                <c:pt idx="6">
                  <c:v>50.909100000000002</c:v>
                </c:pt>
                <c:pt idx="7">
                  <c:v>53.090899999999998</c:v>
                </c:pt>
                <c:pt idx="8">
                  <c:v>55.2727</c:v>
                </c:pt>
                <c:pt idx="9">
                  <c:v>56.7273</c:v>
                </c:pt>
                <c:pt idx="10">
                  <c:v>58.181800000000003</c:v>
                </c:pt>
                <c:pt idx="11">
                  <c:v>60.363599999999998</c:v>
                </c:pt>
                <c:pt idx="12">
                  <c:v>62.545499999999997</c:v>
                </c:pt>
                <c:pt idx="13">
                  <c:v>64</c:v>
                </c:pt>
                <c:pt idx="14">
                  <c:v>65.454499999999996</c:v>
                </c:pt>
                <c:pt idx="15">
                  <c:v>67.636399999999995</c:v>
                </c:pt>
                <c:pt idx="16">
                  <c:v>69.818200000000004</c:v>
                </c:pt>
                <c:pt idx="17">
                  <c:v>72.7273</c:v>
                </c:pt>
                <c:pt idx="18">
                  <c:v>74.909099999999995</c:v>
                </c:pt>
                <c:pt idx="19">
                  <c:v>77.090900000000005</c:v>
                </c:pt>
                <c:pt idx="20">
                  <c:v>78.545500000000004</c:v>
                </c:pt>
                <c:pt idx="21">
                  <c:v>80.7273</c:v>
                </c:pt>
                <c:pt idx="22">
                  <c:v>82.909099999999995</c:v>
                </c:pt>
                <c:pt idx="23">
                  <c:v>85.090900000000005</c:v>
                </c:pt>
                <c:pt idx="24">
                  <c:v>87.2727</c:v>
                </c:pt>
                <c:pt idx="25">
                  <c:v>89.454499999999996</c:v>
                </c:pt>
                <c:pt idx="26">
                  <c:v>91.636399999999995</c:v>
                </c:pt>
                <c:pt idx="27">
                  <c:v>94.545500000000004</c:v>
                </c:pt>
                <c:pt idx="28">
                  <c:v>96.7273</c:v>
                </c:pt>
                <c:pt idx="29">
                  <c:v>99.636399999999995</c:v>
                </c:pt>
                <c:pt idx="30">
                  <c:v>101.818</c:v>
                </c:pt>
                <c:pt idx="31">
                  <c:v>104.727</c:v>
                </c:pt>
                <c:pt idx="32">
                  <c:v>107.636</c:v>
                </c:pt>
                <c:pt idx="33">
                  <c:v>109.818</c:v>
                </c:pt>
                <c:pt idx="34">
                  <c:v>113.455</c:v>
                </c:pt>
                <c:pt idx="35">
                  <c:v>117.09099999999999</c:v>
                </c:pt>
                <c:pt idx="36">
                  <c:v>120.727</c:v>
                </c:pt>
                <c:pt idx="37">
                  <c:v>123.636</c:v>
                </c:pt>
                <c:pt idx="38">
                  <c:v>126.545</c:v>
                </c:pt>
                <c:pt idx="39">
                  <c:v>129.45500000000001</c:v>
                </c:pt>
                <c:pt idx="40">
                  <c:v>131.636</c:v>
                </c:pt>
                <c:pt idx="41">
                  <c:v>133.81800000000001</c:v>
                </c:pt>
                <c:pt idx="42">
                  <c:v>135.273</c:v>
                </c:pt>
                <c:pt idx="43">
                  <c:v>136.727</c:v>
                </c:pt>
                <c:pt idx="44">
                  <c:v>138.18199999999999</c:v>
                </c:pt>
                <c:pt idx="45">
                  <c:v>140.364</c:v>
                </c:pt>
                <c:pt idx="46">
                  <c:v>142.54499999999999</c:v>
                </c:pt>
                <c:pt idx="47">
                  <c:v>145.45500000000001</c:v>
                </c:pt>
                <c:pt idx="48">
                  <c:v>147.636</c:v>
                </c:pt>
                <c:pt idx="49">
                  <c:v>149.81800000000001</c:v>
                </c:pt>
                <c:pt idx="50">
                  <c:v>153.45500000000001</c:v>
                </c:pt>
                <c:pt idx="51">
                  <c:v>154.90899999999999</c:v>
                </c:pt>
                <c:pt idx="52">
                  <c:v>157.09100000000001</c:v>
                </c:pt>
                <c:pt idx="53">
                  <c:v>158.54499999999999</c:v>
                </c:pt>
                <c:pt idx="54">
                  <c:v>160</c:v>
                </c:pt>
                <c:pt idx="55">
                  <c:v>162.18199999999999</c:v>
                </c:pt>
                <c:pt idx="56">
                  <c:v>164.364</c:v>
                </c:pt>
                <c:pt idx="57">
                  <c:v>165.81800000000001</c:v>
                </c:pt>
                <c:pt idx="58">
                  <c:v>168</c:v>
                </c:pt>
                <c:pt idx="59">
                  <c:v>169.45500000000001</c:v>
                </c:pt>
                <c:pt idx="60">
                  <c:v>172.364</c:v>
                </c:pt>
                <c:pt idx="61">
                  <c:v>174.54499999999999</c:v>
                </c:pt>
                <c:pt idx="62">
                  <c:v>176.727</c:v>
                </c:pt>
                <c:pt idx="63">
                  <c:v>179.636</c:v>
                </c:pt>
                <c:pt idx="64">
                  <c:v>181.81800000000001</c:v>
                </c:pt>
                <c:pt idx="65">
                  <c:v>184</c:v>
                </c:pt>
                <c:pt idx="66">
                  <c:v>186.18199999999999</c:v>
                </c:pt>
                <c:pt idx="67">
                  <c:v>187.636</c:v>
                </c:pt>
                <c:pt idx="68">
                  <c:v>189.81800000000001</c:v>
                </c:pt>
                <c:pt idx="69">
                  <c:v>193.45500000000001</c:v>
                </c:pt>
                <c:pt idx="70">
                  <c:v>196.364</c:v>
                </c:pt>
                <c:pt idx="71">
                  <c:v>199.273</c:v>
                </c:pt>
                <c:pt idx="72">
                  <c:v>202.18199999999999</c:v>
                </c:pt>
                <c:pt idx="73">
                  <c:v>204.364</c:v>
                </c:pt>
                <c:pt idx="74">
                  <c:v>206.54499999999999</c:v>
                </c:pt>
                <c:pt idx="75">
                  <c:v>208.727</c:v>
                </c:pt>
                <c:pt idx="76">
                  <c:v>210.90899999999999</c:v>
                </c:pt>
                <c:pt idx="77">
                  <c:v>213.81800000000001</c:v>
                </c:pt>
                <c:pt idx="78">
                  <c:v>216.727</c:v>
                </c:pt>
                <c:pt idx="79">
                  <c:v>220.364</c:v>
                </c:pt>
                <c:pt idx="80">
                  <c:v>223.273</c:v>
                </c:pt>
                <c:pt idx="81">
                  <c:v>226.18199999999999</c:v>
                </c:pt>
                <c:pt idx="82">
                  <c:v>229.81800000000001</c:v>
                </c:pt>
                <c:pt idx="83">
                  <c:v>233.45500000000001</c:v>
                </c:pt>
                <c:pt idx="84">
                  <c:v>237.09100000000001</c:v>
                </c:pt>
                <c:pt idx="85">
                  <c:v>240.727</c:v>
                </c:pt>
                <c:pt idx="86">
                  <c:v>244.364</c:v>
                </c:pt>
                <c:pt idx="87">
                  <c:v>247.273</c:v>
                </c:pt>
                <c:pt idx="88">
                  <c:v>249.45500000000001</c:v>
                </c:pt>
                <c:pt idx="89">
                  <c:v>252.364</c:v>
                </c:pt>
                <c:pt idx="90">
                  <c:v>255.273</c:v>
                </c:pt>
                <c:pt idx="91">
                  <c:v>258.90899999999999</c:v>
                </c:pt>
                <c:pt idx="92">
                  <c:v>262.54500000000002</c:v>
                </c:pt>
                <c:pt idx="93">
                  <c:v>266.18200000000002</c:v>
                </c:pt>
                <c:pt idx="94">
                  <c:v>269.81799999999998</c:v>
                </c:pt>
                <c:pt idx="95">
                  <c:v>273.45499999999998</c:v>
                </c:pt>
                <c:pt idx="96">
                  <c:v>276.36399999999998</c:v>
                </c:pt>
                <c:pt idx="97">
                  <c:v>280.72699999999998</c:v>
                </c:pt>
                <c:pt idx="98">
                  <c:v>284.36399999999998</c:v>
                </c:pt>
                <c:pt idx="99">
                  <c:v>288.72699999999998</c:v>
                </c:pt>
                <c:pt idx="100">
                  <c:v>293.09100000000001</c:v>
                </c:pt>
                <c:pt idx="101">
                  <c:v>296</c:v>
                </c:pt>
                <c:pt idx="102">
                  <c:v>300.36399999999998</c:v>
                </c:pt>
                <c:pt idx="103">
                  <c:v>303.27300000000002</c:v>
                </c:pt>
                <c:pt idx="104">
                  <c:v>307.63600000000002</c:v>
                </c:pt>
                <c:pt idx="105">
                  <c:v>310.54500000000002</c:v>
                </c:pt>
                <c:pt idx="106">
                  <c:v>314.90899999999999</c:v>
                </c:pt>
                <c:pt idx="107">
                  <c:v>318.54500000000002</c:v>
                </c:pt>
                <c:pt idx="108">
                  <c:v>320.72699999999998</c:v>
                </c:pt>
                <c:pt idx="109">
                  <c:v>322.18200000000002</c:v>
                </c:pt>
                <c:pt idx="110">
                  <c:v>325.09100000000001</c:v>
                </c:pt>
                <c:pt idx="111">
                  <c:v>328</c:v>
                </c:pt>
                <c:pt idx="112">
                  <c:v>330.18200000000002</c:v>
                </c:pt>
                <c:pt idx="113">
                  <c:v>333.09100000000001</c:v>
                </c:pt>
                <c:pt idx="114">
                  <c:v>337.45499999999998</c:v>
                </c:pt>
                <c:pt idx="115">
                  <c:v>341.81799999999998</c:v>
                </c:pt>
                <c:pt idx="116">
                  <c:v>344.72699999999998</c:v>
                </c:pt>
                <c:pt idx="117">
                  <c:v>349.09100000000001</c:v>
                </c:pt>
                <c:pt idx="118">
                  <c:v>352</c:v>
                </c:pt>
                <c:pt idx="119">
                  <c:v>356.36399999999998</c:v>
                </c:pt>
                <c:pt idx="120">
                  <c:v>358.54500000000002</c:v>
                </c:pt>
                <c:pt idx="121">
                  <c:v>363.63600000000002</c:v>
                </c:pt>
                <c:pt idx="122">
                  <c:v>368</c:v>
                </c:pt>
                <c:pt idx="123">
                  <c:v>371.63600000000002</c:v>
                </c:pt>
                <c:pt idx="124">
                  <c:v>375.27300000000002</c:v>
                </c:pt>
                <c:pt idx="125">
                  <c:v>378.90899999999999</c:v>
                </c:pt>
                <c:pt idx="126">
                  <c:v>383.27300000000002</c:v>
                </c:pt>
                <c:pt idx="127">
                  <c:v>386.18200000000002</c:v>
                </c:pt>
                <c:pt idx="128">
                  <c:v>390.54500000000002</c:v>
                </c:pt>
                <c:pt idx="129">
                  <c:v>393.45499999999998</c:v>
                </c:pt>
                <c:pt idx="130">
                  <c:v>397.09100000000001</c:v>
                </c:pt>
                <c:pt idx="131">
                  <c:v>400</c:v>
                </c:pt>
                <c:pt idx="132">
                  <c:v>402.90899999999999</c:v>
                </c:pt>
                <c:pt idx="133">
                  <c:v>405.81799999999998</c:v>
                </c:pt>
                <c:pt idx="134">
                  <c:v>409.45499999999998</c:v>
                </c:pt>
                <c:pt idx="135">
                  <c:v>412.36399999999998</c:v>
                </c:pt>
                <c:pt idx="136">
                  <c:v>415.27300000000002</c:v>
                </c:pt>
                <c:pt idx="137">
                  <c:v>418.90899999999999</c:v>
                </c:pt>
                <c:pt idx="138">
                  <c:v>421.81799999999998</c:v>
                </c:pt>
                <c:pt idx="139">
                  <c:v>424</c:v>
                </c:pt>
                <c:pt idx="140">
                  <c:v>426.18200000000002</c:v>
                </c:pt>
                <c:pt idx="141">
                  <c:v>429.09100000000001</c:v>
                </c:pt>
                <c:pt idx="142">
                  <c:v>431.27300000000002</c:v>
                </c:pt>
                <c:pt idx="143">
                  <c:v>433.45499999999998</c:v>
                </c:pt>
                <c:pt idx="144">
                  <c:v>436.36399999999998</c:v>
                </c:pt>
                <c:pt idx="145">
                  <c:v>438.54500000000002</c:v>
                </c:pt>
                <c:pt idx="146">
                  <c:v>440.72699999999998</c:v>
                </c:pt>
                <c:pt idx="147">
                  <c:v>443.63600000000002</c:v>
                </c:pt>
                <c:pt idx="148">
                  <c:v>445.81799999999998</c:v>
                </c:pt>
                <c:pt idx="149">
                  <c:v>448</c:v>
                </c:pt>
                <c:pt idx="150">
                  <c:v>450.90899999999999</c:v>
                </c:pt>
                <c:pt idx="151">
                  <c:v>453.81799999999998</c:v>
                </c:pt>
                <c:pt idx="152">
                  <c:v>456</c:v>
                </c:pt>
                <c:pt idx="153">
                  <c:v>458.90899999999999</c:v>
                </c:pt>
                <c:pt idx="154">
                  <c:v>462.54500000000002</c:v>
                </c:pt>
                <c:pt idx="155">
                  <c:v>465.45499999999998</c:v>
                </c:pt>
                <c:pt idx="156">
                  <c:v>468.36399999999998</c:v>
                </c:pt>
                <c:pt idx="157">
                  <c:v>471.27300000000002</c:v>
                </c:pt>
                <c:pt idx="158">
                  <c:v>473.45499999999998</c:v>
                </c:pt>
                <c:pt idx="159">
                  <c:v>475.63600000000002</c:v>
                </c:pt>
                <c:pt idx="160">
                  <c:v>478.54500000000002</c:v>
                </c:pt>
                <c:pt idx="161">
                  <c:v>480.72699999999998</c:v>
                </c:pt>
                <c:pt idx="162">
                  <c:v>482.90899999999999</c:v>
                </c:pt>
                <c:pt idx="163">
                  <c:v>484.36399999999998</c:v>
                </c:pt>
                <c:pt idx="164">
                  <c:v>485.81799999999998</c:v>
                </c:pt>
                <c:pt idx="165">
                  <c:v>487.27300000000002</c:v>
                </c:pt>
                <c:pt idx="166">
                  <c:v>489.45499999999998</c:v>
                </c:pt>
                <c:pt idx="167">
                  <c:v>490.18200000000002</c:v>
                </c:pt>
                <c:pt idx="168">
                  <c:v>492.36399999999998</c:v>
                </c:pt>
                <c:pt idx="169">
                  <c:v>494.54500000000002</c:v>
                </c:pt>
                <c:pt idx="170">
                  <c:v>496.72699999999998</c:v>
                </c:pt>
                <c:pt idx="171">
                  <c:v>498.90899999999999</c:v>
                </c:pt>
                <c:pt idx="172">
                  <c:v>499.63600000000002</c:v>
                </c:pt>
                <c:pt idx="173">
                  <c:v>500.36399999999998</c:v>
                </c:pt>
                <c:pt idx="174">
                  <c:v>499.63600000000002</c:v>
                </c:pt>
                <c:pt idx="175">
                  <c:v>498.90899999999999</c:v>
                </c:pt>
                <c:pt idx="176">
                  <c:v>498.90899999999999</c:v>
                </c:pt>
                <c:pt idx="177">
                  <c:v>497.45499999999998</c:v>
                </c:pt>
                <c:pt idx="178">
                  <c:v>496.72699999999998</c:v>
                </c:pt>
                <c:pt idx="179">
                  <c:v>496.72699999999998</c:v>
                </c:pt>
                <c:pt idx="180">
                  <c:v>495.27300000000002</c:v>
                </c:pt>
                <c:pt idx="181">
                  <c:v>494.54500000000002</c:v>
                </c:pt>
                <c:pt idx="182">
                  <c:v>494.54500000000002</c:v>
                </c:pt>
                <c:pt idx="183">
                  <c:v>493.09100000000001</c:v>
                </c:pt>
                <c:pt idx="184">
                  <c:v>492.36399999999998</c:v>
                </c:pt>
                <c:pt idx="185">
                  <c:v>491.63600000000002</c:v>
                </c:pt>
                <c:pt idx="186">
                  <c:v>490.18200000000002</c:v>
                </c:pt>
                <c:pt idx="187">
                  <c:v>489.45499999999998</c:v>
                </c:pt>
                <c:pt idx="188">
                  <c:v>488</c:v>
                </c:pt>
                <c:pt idx="189">
                  <c:v>487.27300000000002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D8-4137-A9C7-59688586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45744"/>
        <c:axId val="20931232"/>
      </c:scatterChart>
      <c:scatterChart>
        <c:scatterStyle val="smoothMarker"/>
        <c:varyColors val="0"/>
        <c:ser>
          <c:idx val="1"/>
          <c:order val="0"/>
          <c:tx>
            <c:v>Torque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'Engine Data'!$E$4:$E$291</c:f>
              <c:numCache>
                <c:formatCode>General</c:formatCode>
                <c:ptCount val="288"/>
                <c:pt idx="0">
                  <c:v>989.27700000000004</c:v>
                </c:pt>
                <c:pt idx="1">
                  <c:v>994.83699999999999</c:v>
                </c:pt>
                <c:pt idx="2">
                  <c:v>1005.96</c:v>
                </c:pt>
                <c:pt idx="3">
                  <c:v>1017.08</c:v>
                </c:pt>
                <c:pt idx="4">
                  <c:v>1028.2</c:v>
                </c:pt>
                <c:pt idx="5">
                  <c:v>1039.32</c:v>
                </c:pt>
                <c:pt idx="6">
                  <c:v>1050.44</c:v>
                </c:pt>
                <c:pt idx="7">
                  <c:v>1056</c:v>
                </c:pt>
                <c:pt idx="8">
                  <c:v>1061.56</c:v>
                </c:pt>
                <c:pt idx="9">
                  <c:v>1072.68</c:v>
                </c:pt>
                <c:pt idx="10">
                  <c:v>1078.24</c:v>
                </c:pt>
                <c:pt idx="11">
                  <c:v>1089.3599999999999</c:v>
                </c:pt>
                <c:pt idx="12">
                  <c:v>1094.92</c:v>
                </c:pt>
                <c:pt idx="13">
                  <c:v>1100.48</c:v>
                </c:pt>
                <c:pt idx="14">
                  <c:v>1111.5999999999999</c:v>
                </c:pt>
                <c:pt idx="15">
                  <c:v>1122.72</c:v>
                </c:pt>
                <c:pt idx="16">
                  <c:v>1128.28</c:v>
                </c:pt>
                <c:pt idx="17">
                  <c:v>1133.8399999999999</c:v>
                </c:pt>
                <c:pt idx="18">
                  <c:v>1144.96</c:v>
                </c:pt>
                <c:pt idx="19">
                  <c:v>1150.52</c:v>
                </c:pt>
                <c:pt idx="20">
                  <c:v>1156.08</c:v>
                </c:pt>
                <c:pt idx="21">
                  <c:v>1161.6400000000001</c:v>
                </c:pt>
                <c:pt idx="22">
                  <c:v>1167.2</c:v>
                </c:pt>
                <c:pt idx="23">
                  <c:v>1172.76</c:v>
                </c:pt>
                <c:pt idx="24">
                  <c:v>1178.32</c:v>
                </c:pt>
                <c:pt idx="25">
                  <c:v>1183.8800000000001</c:v>
                </c:pt>
                <c:pt idx="26">
                  <c:v>1195</c:v>
                </c:pt>
                <c:pt idx="27">
                  <c:v>1200.56</c:v>
                </c:pt>
                <c:pt idx="28">
                  <c:v>1206.1199999999999</c:v>
                </c:pt>
                <c:pt idx="29">
                  <c:v>1211.68</c:v>
                </c:pt>
                <c:pt idx="30">
                  <c:v>1217.24</c:v>
                </c:pt>
                <c:pt idx="31">
                  <c:v>1222.8</c:v>
                </c:pt>
                <c:pt idx="32">
                  <c:v>1228.3599999999999</c:v>
                </c:pt>
                <c:pt idx="33">
                  <c:v>1239.48</c:v>
                </c:pt>
                <c:pt idx="34">
                  <c:v>1245.04</c:v>
                </c:pt>
                <c:pt idx="35">
                  <c:v>1256.1600000000001</c:v>
                </c:pt>
                <c:pt idx="36">
                  <c:v>1261.72</c:v>
                </c:pt>
                <c:pt idx="37">
                  <c:v>1267.28</c:v>
                </c:pt>
                <c:pt idx="38">
                  <c:v>1272.8399999999999</c:v>
                </c:pt>
                <c:pt idx="39">
                  <c:v>1283.96</c:v>
                </c:pt>
                <c:pt idx="40">
                  <c:v>1289.52</c:v>
                </c:pt>
                <c:pt idx="41">
                  <c:v>1300.6400000000001</c:v>
                </c:pt>
                <c:pt idx="42">
                  <c:v>1306.2</c:v>
                </c:pt>
                <c:pt idx="43">
                  <c:v>1317.32</c:v>
                </c:pt>
                <c:pt idx="44">
                  <c:v>1328.44</c:v>
                </c:pt>
                <c:pt idx="45">
                  <c:v>1334</c:v>
                </c:pt>
                <c:pt idx="46">
                  <c:v>1345.12</c:v>
                </c:pt>
                <c:pt idx="47">
                  <c:v>1350.68</c:v>
                </c:pt>
                <c:pt idx="48">
                  <c:v>1361.8</c:v>
                </c:pt>
                <c:pt idx="49">
                  <c:v>1367.36</c:v>
                </c:pt>
                <c:pt idx="50">
                  <c:v>1372.92</c:v>
                </c:pt>
                <c:pt idx="51">
                  <c:v>1384.03</c:v>
                </c:pt>
                <c:pt idx="52">
                  <c:v>1395.15</c:v>
                </c:pt>
                <c:pt idx="53">
                  <c:v>1406.27</c:v>
                </c:pt>
                <c:pt idx="54">
                  <c:v>1417.39</c:v>
                </c:pt>
                <c:pt idx="55">
                  <c:v>1428.51</c:v>
                </c:pt>
                <c:pt idx="56">
                  <c:v>1439.63</c:v>
                </c:pt>
                <c:pt idx="57">
                  <c:v>1456.31</c:v>
                </c:pt>
                <c:pt idx="58">
                  <c:v>1467.43</c:v>
                </c:pt>
                <c:pt idx="59">
                  <c:v>1478.55</c:v>
                </c:pt>
                <c:pt idx="60">
                  <c:v>1489.67</c:v>
                </c:pt>
                <c:pt idx="61">
                  <c:v>1495.23</c:v>
                </c:pt>
                <c:pt idx="62">
                  <c:v>1500.79</c:v>
                </c:pt>
                <c:pt idx="63">
                  <c:v>1506.35</c:v>
                </c:pt>
                <c:pt idx="64">
                  <c:v>1511.91</c:v>
                </c:pt>
                <c:pt idx="65">
                  <c:v>1517.47</c:v>
                </c:pt>
                <c:pt idx="66">
                  <c:v>1523.03</c:v>
                </c:pt>
                <c:pt idx="67">
                  <c:v>1528.59</c:v>
                </c:pt>
                <c:pt idx="68">
                  <c:v>1534.15</c:v>
                </c:pt>
                <c:pt idx="69">
                  <c:v>1545.27</c:v>
                </c:pt>
                <c:pt idx="70">
                  <c:v>1550.83</c:v>
                </c:pt>
                <c:pt idx="71">
                  <c:v>1556.39</c:v>
                </c:pt>
                <c:pt idx="72">
                  <c:v>1567.51</c:v>
                </c:pt>
                <c:pt idx="73">
                  <c:v>1573.07</c:v>
                </c:pt>
                <c:pt idx="74">
                  <c:v>1578.63</c:v>
                </c:pt>
                <c:pt idx="75">
                  <c:v>1584.19</c:v>
                </c:pt>
                <c:pt idx="76">
                  <c:v>1589.75</c:v>
                </c:pt>
                <c:pt idx="77">
                  <c:v>1595.31</c:v>
                </c:pt>
                <c:pt idx="78">
                  <c:v>1606.43</c:v>
                </c:pt>
                <c:pt idx="79">
                  <c:v>1611.99</c:v>
                </c:pt>
                <c:pt idx="80">
                  <c:v>1617.55</c:v>
                </c:pt>
                <c:pt idx="81">
                  <c:v>1628.67</c:v>
                </c:pt>
                <c:pt idx="82">
                  <c:v>1634.23</c:v>
                </c:pt>
                <c:pt idx="83">
                  <c:v>1639.79</c:v>
                </c:pt>
                <c:pt idx="84">
                  <c:v>1645.35</c:v>
                </c:pt>
                <c:pt idx="85">
                  <c:v>1656.47</c:v>
                </c:pt>
                <c:pt idx="86">
                  <c:v>1662.03</c:v>
                </c:pt>
                <c:pt idx="87">
                  <c:v>1667.59</c:v>
                </c:pt>
                <c:pt idx="88">
                  <c:v>1678.71</c:v>
                </c:pt>
                <c:pt idx="89">
                  <c:v>1684.27</c:v>
                </c:pt>
                <c:pt idx="90">
                  <c:v>1695.39</c:v>
                </c:pt>
                <c:pt idx="91">
                  <c:v>1700.95</c:v>
                </c:pt>
                <c:pt idx="92">
                  <c:v>1712.07</c:v>
                </c:pt>
                <c:pt idx="93">
                  <c:v>1717.63</c:v>
                </c:pt>
                <c:pt idx="94">
                  <c:v>1723.19</c:v>
                </c:pt>
                <c:pt idx="95">
                  <c:v>1734.31</c:v>
                </c:pt>
                <c:pt idx="96">
                  <c:v>1739.87</c:v>
                </c:pt>
                <c:pt idx="97">
                  <c:v>1745.43</c:v>
                </c:pt>
                <c:pt idx="98">
                  <c:v>1756.55</c:v>
                </c:pt>
                <c:pt idx="99">
                  <c:v>1767.67</c:v>
                </c:pt>
                <c:pt idx="100">
                  <c:v>1773.23</c:v>
                </c:pt>
                <c:pt idx="101">
                  <c:v>1778.79</c:v>
                </c:pt>
                <c:pt idx="102">
                  <c:v>1789.91</c:v>
                </c:pt>
                <c:pt idx="103">
                  <c:v>1795.47</c:v>
                </c:pt>
                <c:pt idx="104">
                  <c:v>1806.59</c:v>
                </c:pt>
                <c:pt idx="105">
                  <c:v>1812.15</c:v>
                </c:pt>
                <c:pt idx="106">
                  <c:v>1817.71</c:v>
                </c:pt>
                <c:pt idx="107">
                  <c:v>1828.83</c:v>
                </c:pt>
                <c:pt idx="108">
                  <c:v>1839.95</c:v>
                </c:pt>
                <c:pt idx="109">
                  <c:v>1845.51</c:v>
                </c:pt>
                <c:pt idx="110">
                  <c:v>1856.63</c:v>
                </c:pt>
                <c:pt idx="111">
                  <c:v>1862.19</c:v>
                </c:pt>
                <c:pt idx="112">
                  <c:v>1873.31</c:v>
                </c:pt>
                <c:pt idx="113">
                  <c:v>1884.43</c:v>
                </c:pt>
                <c:pt idx="114">
                  <c:v>1889.99</c:v>
                </c:pt>
                <c:pt idx="115">
                  <c:v>1901.11</c:v>
                </c:pt>
                <c:pt idx="116">
                  <c:v>1906.67</c:v>
                </c:pt>
                <c:pt idx="117">
                  <c:v>1912.23</c:v>
                </c:pt>
                <c:pt idx="118">
                  <c:v>1923.35</c:v>
                </c:pt>
                <c:pt idx="119">
                  <c:v>1934.47</c:v>
                </c:pt>
                <c:pt idx="120">
                  <c:v>1940.03</c:v>
                </c:pt>
                <c:pt idx="121">
                  <c:v>1951.15</c:v>
                </c:pt>
                <c:pt idx="122">
                  <c:v>1956.71</c:v>
                </c:pt>
                <c:pt idx="123">
                  <c:v>1967.83</c:v>
                </c:pt>
                <c:pt idx="124">
                  <c:v>1984.51</c:v>
                </c:pt>
                <c:pt idx="125">
                  <c:v>2001.19</c:v>
                </c:pt>
                <c:pt idx="126">
                  <c:v>2012.31</c:v>
                </c:pt>
                <c:pt idx="127">
                  <c:v>2028.99</c:v>
                </c:pt>
                <c:pt idx="128">
                  <c:v>2040.11</c:v>
                </c:pt>
                <c:pt idx="129">
                  <c:v>2051.23</c:v>
                </c:pt>
                <c:pt idx="130">
                  <c:v>2067.91</c:v>
                </c:pt>
                <c:pt idx="131">
                  <c:v>2079.0300000000002</c:v>
                </c:pt>
                <c:pt idx="132">
                  <c:v>2095.71</c:v>
                </c:pt>
                <c:pt idx="133">
                  <c:v>2112.39</c:v>
                </c:pt>
                <c:pt idx="134">
                  <c:v>2123.5100000000002</c:v>
                </c:pt>
                <c:pt idx="135">
                  <c:v>2134.63</c:v>
                </c:pt>
                <c:pt idx="136">
                  <c:v>2151.31</c:v>
                </c:pt>
                <c:pt idx="137">
                  <c:v>2162.4299999999998</c:v>
                </c:pt>
                <c:pt idx="138">
                  <c:v>2179.11</c:v>
                </c:pt>
                <c:pt idx="139">
                  <c:v>2201.35</c:v>
                </c:pt>
                <c:pt idx="140">
                  <c:v>2218.0300000000002</c:v>
                </c:pt>
                <c:pt idx="141">
                  <c:v>2240.27</c:v>
                </c:pt>
                <c:pt idx="142">
                  <c:v>2262.5100000000002</c:v>
                </c:pt>
                <c:pt idx="143">
                  <c:v>2284.75</c:v>
                </c:pt>
                <c:pt idx="144">
                  <c:v>2306.9899999999998</c:v>
                </c:pt>
                <c:pt idx="145">
                  <c:v>2329.23</c:v>
                </c:pt>
                <c:pt idx="146">
                  <c:v>2340.35</c:v>
                </c:pt>
                <c:pt idx="147">
                  <c:v>2362.59</c:v>
                </c:pt>
                <c:pt idx="148">
                  <c:v>2384.83</c:v>
                </c:pt>
                <c:pt idx="149">
                  <c:v>2407.0700000000002</c:v>
                </c:pt>
                <c:pt idx="150">
                  <c:v>2423.75</c:v>
                </c:pt>
                <c:pt idx="151">
                  <c:v>2440.4299999999998</c:v>
                </c:pt>
                <c:pt idx="152">
                  <c:v>2457.11</c:v>
                </c:pt>
                <c:pt idx="153">
                  <c:v>2479.35</c:v>
                </c:pt>
                <c:pt idx="154">
                  <c:v>2496.0300000000002</c:v>
                </c:pt>
                <c:pt idx="155">
                  <c:v>2518.27</c:v>
                </c:pt>
                <c:pt idx="156">
                  <c:v>2540.5100000000002</c:v>
                </c:pt>
                <c:pt idx="157">
                  <c:v>2562.75</c:v>
                </c:pt>
                <c:pt idx="158">
                  <c:v>2579.4299999999998</c:v>
                </c:pt>
                <c:pt idx="159">
                  <c:v>2596.11</c:v>
                </c:pt>
                <c:pt idx="160">
                  <c:v>2612.79</c:v>
                </c:pt>
                <c:pt idx="161">
                  <c:v>2629.47</c:v>
                </c:pt>
                <c:pt idx="162">
                  <c:v>2646.15</c:v>
                </c:pt>
                <c:pt idx="163">
                  <c:v>2662.83</c:v>
                </c:pt>
                <c:pt idx="164">
                  <c:v>2679.51</c:v>
                </c:pt>
                <c:pt idx="165">
                  <c:v>2701.75</c:v>
                </c:pt>
                <c:pt idx="166">
                  <c:v>2718.43</c:v>
                </c:pt>
                <c:pt idx="167">
                  <c:v>2740.67</c:v>
                </c:pt>
                <c:pt idx="168">
                  <c:v>2762.91</c:v>
                </c:pt>
                <c:pt idx="169">
                  <c:v>2785.15</c:v>
                </c:pt>
                <c:pt idx="170">
                  <c:v>2807.39</c:v>
                </c:pt>
                <c:pt idx="171">
                  <c:v>2824.07</c:v>
                </c:pt>
                <c:pt idx="172">
                  <c:v>2840.75</c:v>
                </c:pt>
                <c:pt idx="173">
                  <c:v>2857.43</c:v>
                </c:pt>
                <c:pt idx="174">
                  <c:v>2879.67</c:v>
                </c:pt>
                <c:pt idx="175">
                  <c:v>2901.91</c:v>
                </c:pt>
                <c:pt idx="176">
                  <c:v>2918.59</c:v>
                </c:pt>
                <c:pt idx="177">
                  <c:v>2935.27</c:v>
                </c:pt>
                <c:pt idx="178">
                  <c:v>2946.39</c:v>
                </c:pt>
                <c:pt idx="179">
                  <c:v>2963.07</c:v>
                </c:pt>
                <c:pt idx="180">
                  <c:v>2979.75</c:v>
                </c:pt>
                <c:pt idx="181">
                  <c:v>2996.43</c:v>
                </c:pt>
                <c:pt idx="182">
                  <c:v>3013.11</c:v>
                </c:pt>
                <c:pt idx="183">
                  <c:v>3024.23</c:v>
                </c:pt>
                <c:pt idx="184">
                  <c:v>3040.91</c:v>
                </c:pt>
                <c:pt idx="185">
                  <c:v>3163.22</c:v>
                </c:pt>
                <c:pt idx="186">
                  <c:v>3202.14</c:v>
                </c:pt>
                <c:pt idx="187">
                  <c:v>3235.5</c:v>
                </c:pt>
                <c:pt idx="188">
                  <c:v>3274.42</c:v>
                </c:pt>
                <c:pt idx="189">
                  <c:v>3324.46</c:v>
                </c:pt>
                <c:pt idx="190">
                  <c:v>3368.94</c:v>
                </c:pt>
                <c:pt idx="191">
                  <c:v>3413.42</c:v>
                </c:pt>
                <c:pt idx="192">
                  <c:v>3457.9</c:v>
                </c:pt>
                <c:pt idx="193">
                  <c:v>3502.38</c:v>
                </c:pt>
                <c:pt idx="194">
                  <c:v>3541.3</c:v>
                </c:pt>
                <c:pt idx="195">
                  <c:v>3585.78</c:v>
                </c:pt>
                <c:pt idx="196">
                  <c:v>3652.5</c:v>
                </c:pt>
                <c:pt idx="197">
                  <c:v>3747.02</c:v>
                </c:pt>
                <c:pt idx="198">
                  <c:v>3858.22</c:v>
                </c:pt>
                <c:pt idx="199">
                  <c:v>3963.86</c:v>
                </c:pt>
                <c:pt idx="200">
                  <c:v>4108.42</c:v>
                </c:pt>
                <c:pt idx="201">
                  <c:v>4230.74</c:v>
                </c:pt>
                <c:pt idx="202">
                  <c:v>4330.82</c:v>
                </c:pt>
                <c:pt idx="203">
                  <c:v>4469.82</c:v>
                </c:pt>
                <c:pt idx="204">
                  <c:v>4547.66</c:v>
                </c:pt>
                <c:pt idx="205">
                  <c:v>4669.9799999999996</c:v>
                </c:pt>
                <c:pt idx="206">
                  <c:v>4747.82</c:v>
                </c:pt>
                <c:pt idx="207">
                  <c:v>4814.54</c:v>
                </c:pt>
                <c:pt idx="208">
                  <c:v>4853.46</c:v>
                </c:pt>
                <c:pt idx="209">
                  <c:v>4875.6899999999996</c:v>
                </c:pt>
                <c:pt idx="210">
                  <c:v>4897.93</c:v>
                </c:pt>
                <c:pt idx="211">
                  <c:v>4920.17</c:v>
                </c:pt>
                <c:pt idx="212">
                  <c:v>4947.97</c:v>
                </c:pt>
                <c:pt idx="213">
                  <c:v>4975.7700000000004</c:v>
                </c:pt>
                <c:pt idx="214">
                  <c:v>4998.01</c:v>
                </c:pt>
                <c:pt idx="215">
                  <c:v>5025.8100000000004</c:v>
                </c:pt>
                <c:pt idx="216">
                  <c:v>5059.17</c:v>
                </c:pt>
                <c:pt idx="217">
                  <c:v>5092.53</c:v>
                </c:pt>
                <c:pt idx="218">
                  <c:v>5120.33</c:v>
                </c:pt>
                <c:pt idx="219">
                  <c:v>5153.6899999999996</c:v>
                </c:pt>
                <c:pt idx="220">
                  <c:v>5187.05</c:v>
                </c:pt>
                <c:pt idx="221">
                  <c:v>5225.97</c:v>
                </c:pt>
                <c:pt idx="222">
                  <c:v>5259.33</c:v>
                </c:pt>
                <c:pt idx="223">
                  <c:v>5281.57</c:v>
                </c:pt>
                <c:pt idx="224">
                  <c:v>5309.37</c:v>
                </c:pt>
                <c:pt idx="225">
                  <c:v>5337.17</c:v>
                </c:pt>
                <c:pt idx="226">
                  <c:v>5364.97</c:v>
                </c:pt>
                <c:pt idx="227">
                  <c:v>5398.33</c:v>
                </c:pt>
                <c:pt idx="228">
                  <c:v>5431.69</c:v>
                </c:pt>
                <c:pt idx="229">
                  <c:v>5465.05</c:v>
                </c:pt>
                <c:pt idx="230">
                  <c:v>5503.97</c:v>
                </c:pt>
                <c:pt idx="231">
                  <c:v>5531.77</c:v>
                </c:pt>
                <c:pt idx="232">
                  <c:v>5559.57</c:v>
                </c:pt>
                <c:pt idx="233">
                  <c:v>5587.37</c:v>
                </c:pt>
                <c:pt idx="234">
                  <c:v>5615.17</c:v>
                </c:pt>
                <c:pt idx="235">
                  <c:v>5642.97</c:v>
                </c:pt>
                <c:pt idx="236">
                  <c:v>5670.77</c:v>
                </c:pt>
                <c:pt idx="237">
                  <c:v>5698.57</c:v>
                </c:pt>
                <c:pt idx="238">
                  <c:v>5720.81</c:v>
                </c:pt>
                <c:pt idx="239">
                  <c:v>5743.05</c:v>
                </c:pt>
                <c:pt idx="240">
                  <c:v>5770.85</c:v>
                </c:pt>
                <c:pt idx="241">
                  <c:v>5798.65</c:v>
                </c:pt>
                <c:pt idx="242">
                  <c:v>5826.45</c:v>
                </c:pt>
                <c:pt idx="243">
                  <c:v>5848.69</c:v>
                </c:pt>
                <c:pt idx="244">
                  <c:v>5870.93</c:v>
                </c:pt>
                <c:pt idx="245">
                  <c:v>5893.17</c:v>
                </c:pt>
                <c:pt idx="246">
                  <c:v>5915.41</c:v>
                </c:pt>
                <c:pt idx="247">
                  <c:v>5937.65</c:v>
                </c:pt>
                <c:pt idx="248">
                  <c:v>5959.89</c:v>
                </c:pt>
                <c:pt idx="249">
                  <c:v>5987.69</c:v>
                </c:pt>
                <c:pt idx="250">
                  <c:v>6015.49</c:v>
                </c:pt>
                <c:pt idx="251">
                  <c:v>6043.29</c:v>
                </c:pt>
                <c:pt idx="252">
                  <c:v>6071.09</c:v>
                </c:pt>
                <c:pt idx="253">
                  <c:v>6098.89</c:v>
                </c:pt>
                <c:pt idx="254">
                  <c:v>6126.69</c:v>
                </c:pt>
                <c:pt idx="255">
                  <c:v>6148.93</c:v>
                </c:pt>
                <c:pt idx="256">
                  <c:v>6176.73</c:v>
                </c:pt>
                <c:pt idx="257">
                  <c:v>6204.53</c:v>
                </c:pt>
                <c:pt idx="258">
                  <c:v>6232.33</c:v>
                </c:pt>
                <c:pt idx="259">
                  <c:v>6254.57</c:v>
                </c:pt>
                <c:pt idx="260">
                  <c:v>6282.37</c:v>
                </c:pt>
                <c:pt idx="261">
                  <c:v>6304.61</c:v>
                </c:pt>
                <c:pt idx="262">
                  <c:v>6321.29</c:v>
                </c:pt>
                <c:pt idx="263">
                  <c:v>6343.53</c:v>
                </c:pt>
                <c:pt idx="264">
                  <c:v>6360.21</c:v>
                </c:pt>
                <c:pt idx="265">
                  <c:v>6376.89</c:v>
                </c:pt>
                <c:pt idx="266">
                  <c:v>6399.13</c:v>
                </c:pt>
                <c:pt idx="267">
                  <c:v>6426.93</c:v>
                </c:pt>
                <c:pt idx="268">
                  <c:v>6443.61</c:v>
                </c:pt>
                <c:pt idx="269">
                  <c:v>6465.85</c:v>
                </c:pt>
                <c:pt idx="270">
                  <c:v>6488.09</c:v>
                </c:pt>
                <c:pt idx="271">
                  <c:v>6504.77</c:v>
                </c:pt>
                <c:pt idx="272">
                  <c:v>6521.45</c:v>
                </c:pt>
                <c:pt idx="273">
                  <c:v>6538.13</c:v>
                </c:pt>
                <c:pt idx="274">
                  <c:v>6554.81</c:v>
                </c:pt>
                <c:pt idx="275">
                  <c:v>6571.49</c:v>
                </c:pt>
                <c:pt idx="276">
                  <c:v>6588.17</c:v>
                </c:pt>
                <c:pt idx="277">
                  <c:v>6604.85</c:v>
                </c:pt>
                <c:pt idx="278">
                  <c:v>6621.53</c:v>
                </c:pt>
                <c:pt idx="279">
                  <c:v>6638.2</c:v>
                </c:pt>
                <c:pt idx="280">
                  <c:v>6654.88</c:v>
                </c:pt>
                <c:pt idx="281">
                  <c:v>6671.56</c:v>
                </c:pt>
                <c:pt idx="282">
                  <c:v>6699.36</c:v>
                </c:pt>
                <c:pt idx="283">
                  <c:v>6721.6</c:v>
                </c:pt>
                <c:pt idx="284">
                  <c:v>6738.28</c:v>
                </c:pt>
                <c:pt idx="285">
                  <c:v>6760.52</c:v>
                </c:pt>
                <c:pt idx="286">
                  <c:v>6777.2</c:v>
                </c:pt>
                <c:pt idx="287">
                  <c:v>6788.32</c:v>
                </c:pt>
              </c:numCache>
            </c:numRef>
          </c:xVal>
          <c:yVal>
            <c:numRef>
              <c:f>'Engine Data'!$F$4:$F$291</c:f>
              <c:numCache>
                <c:formatCode>General</c:formatCode>
                <c:ptCount val="288"/>
                <c:pt idx="0">
                  <c:v>275.39400000000001</c:v>
                </c:pt>
                <c:pt idx="1">
                  <c:v>277.33300000000003</c:v>
                </c:pt>
                <c:pt idx="2">
                  <c:v>279.27300000000002</c:v>
                </c:pt>
                <c:pt idx="3">
                  <c:v>281.21199999999999</c:v>
                </c:pt>
                <c:pt idx="4">
                  <c:v>284.12099999999998</c:v>
                </c:pt>
                <c:pt idx="5">
                  <c:v>287.02999999999997</c:v>
                </c:pt>
                <c:pt idx="6">
                  <c:v>289.93900000000002</c:v>
                </c:pt>
                <c:pt idx="7">
                  <c:v>291.87900000000002</c:v>
                </c:pt>
                <c:pt idx="8">
                  <c:v>293.81799999999998</c:v>
                </c:pt>
                <c:pt idx="9">
                  <c:v>295.75799999999998</c:v>
                </c:pt>
                <c:pt idx="10">
                  <c:v>297.697</c:v>
                </c:pt>
                <c:pt idx="11">
                  <c:v>299.63600000000002</c:v>
                </c:pt>
                <c:pt idx="12">
                  <c:v>301.57600000000002</c:v>
                </c:pt>
                <c:pt idx="13">
                  <c:v>303.51499999999999</c:v>
                </c:pt>
                <c:pt idx="14">
                  <c:v>305.45499999999998</c:v>
                </c:pt>
                <c:pt idx="15">
                  <c:v>307.39400000000001</c:v>
                </c:pt>
                <c:pt idx="16">
                  <c:v>309.33300000000003</c:v>
                </c:pt>
                <c:pt idx="17">
                  <c:v>311.27300000000002</c:v>
                </c:pt>
                <c:pt idx="18">
                  <c:v>313.21199999999999</c:v>
                </c:pt>
                <c:pt idx="19">
                  <c:v>315.15199999999999</c:v>
                </c:pt>
                <c:pt idx="20">
                  <c:v>317.09100000000001</c:v>
                </c:pt>
                <c:pt idx="21">
                  <c:v>318.06099999999998</c:v>
                </c:pt>
                <c:pt idx="22">
                  <c:v>319.02999999999997</c:v>
                </c:pt>
                <c:pt idx="23">
                  <c:v>320.97000000000003</c:v>
                </c:pt>
                <c:pt idx="24">
                  <c:v>322.90899999999999</c:v>
                </c:pt>
                <c:pt idx="25">
                  <c:v>323.87900000000002</c:v>
                </c:pt>
                <c:pt idx="26">
                  <c:v>325.81799999999998</c:v>
                </c:pt>
                <c:pt idx="27">
                  <c:v>327.75799999999998</c:v>
                </c:pt>
                <c:pt idx="28">
                  <c:v>328.72699999999998</c:v>
                </c:pt>
                <c:pt idx="29">
                  <c:v>330.66699999999997</c:v>
                </c:pt>
                <c:pt idx="30">
                  <c:v>331.63600000000002</c:v>
                </c:pt>
                <c:pt idx="31">
                  <c:v>333.57600000000002</c:v>
                </c:pt>
                <c:pt idx="32">
                  <c:v>335.51499999999999</c:v>
                </c:pt>
                <c:pt idx="33">
                  <c:v>337.45499999999998</c:v>
                </c:pt>
                <c:pt idx="34">
                  <c:v>339.39400000000001</c:v>
                </c:pt>
                <c:pt idx="35">
                  <c:v>341.33300000000003</c:v>
                </c:pt>
                <c:pt idx="36">
                  <c:v>343.27300000000002</c:v>
                </c:pt>
                <c:pt idx="37">
                  <c:v>345.21199999999999</c:v>
                </c:pt>
                <c:pt idx="38">
                  <c:v>347.15199999999999</c:v>
                </c:pt>
                <c:pt idx="39">
                  <c:v>349.09100000000001</c:v>
                </c:pt>
                <c:pt idx="40">
                  <c:v>351.03</c:v>
                </c:pt>
                <c:pt idx="41">
                  <c:v>352</c:v>
                </c:pt>
                <c:pt idx="42">
                  <c:v>354.90899999999999</c:v>
                </c:pt>
                <c:pt idx="43">
                  <c:v>357.81799999999998</c:v>
                </c:pt>
                <c:pt idx="44">
                  <c:v>359.75799999999998</c:v>
                </c:pt>
                <c:pt idx="45">
                  <c:v>361.697</c:v>
                </c:pt>
                <c:pt idx="46">
                  <c:v>363.63600000000002</c:v>
                </c:pt>
                <c:pt idx="47">
                  <c:v>365.57600000000002</c:v>
                </c:pt>
                <c:pt idx="48">
                  <c:v>367.51499999999999</c:v>
                </c:pt>
                <c:pt idx="49">
                  <c:v>369.45499999999998</c:v>
                </c:pt>
                <c:pt idx="50">
                  <c:v>371.39400000000001</c:v>
                </c:pt>
                <c:pt idx="51">
                  <c:v>374.303</c:v>
                </c:pt>
                <c:pt idx="52">
                  <c:v>376.24200000000002</c:v>
                </c:pt>
                <c:pt idx="53">
                  <c:v>380.12099999999998</c:v>
                </c:pt>
                <c:pt idx="54">
                  <c:v>383.03</c:v>
                </c:pt>
                <c:pt idx="55">
                  <c:v>384.97</c:v>
                </c:pt>
                <c:pt idx="56">
                  <c:v>388.84800000000001</c:v>
                </c:pt>
                <c:pt idx="57">
                  <c:v>391.75799999999998</c:v>
                </c:pt>
                <c:pt idx="58">
                  <c:v>395.63600000000002</c:v>
                </c:pt>
                <c:pt idx="59">
                  <c:v>398.54500000000002</c:v>
                </c:pt>
                <c:pt idx="60">
                  <c:v>401.45499999999998</c:v>
                </c:pt>
                <c:pt idx="61">
                  <c:v>403.39400000000001</c:v>
                </c:pt>
                <c:pt idx="62">
                  <c:v>405.33300000000003</c:v>
                </c:pt>
                <c:pt idx="63">
                  <c:v>406.303</c:v>
                </c:pt>
                <c:pt idx="64">
                  <c:v>408.24200000000002</c:v>
                </c:pt>
                <c:pt idx="65">
                  <c:v>410.18200000000002</c:v>
                </c:pt>
                <c:pt idx="66">
                  <c:v>412.12099999999998</c:v>
                </c:pt>
                <c:pt idx="67">
                  <c:v>414.06099999999998</c:v>
                </c:pt>
                <c:pt idx="68">
                  <c:v>416</c:v>
                </c:pt>
                <c:pt idx="69">
                  <c:v>417.93900000000002</c:v>
                </c:pt>
                <c:pt idx="70">
                  <c:v>419.87900000000002</c:v>
                </c:pt>
                <c:pt idx="71">
                  <c:v>422.78800000000001</c:v>
                </c:pt>
                <c:pt idx="72">
                  <c:v>424.72699999999998</c:v>
                </c:pt>
                <c:pt idx="73">
                  <c:v>426.66699999999997</c:v>
                </c:pt>
                <c:pt idx="74">
                  <c:v>428.60599999999999</c:v>
                </c:pt>
                <c:pt idx="75">
                  <c:v>430.54500000000002</c:v>
                </c:pt>
                <c:pt idx="76">
                  <c:v>432.48500000000001</c:v>
                </c:pt>
                <c:pt idx="77">
                  <c:v>434.42399999999998</c:v>
                </c:pt>
                <c:pt idx="78">
                  <c:v>436.36399999999998</c:v>
                </c:pt>
                <c:pt idx="79">
                  <c:v>438.303</c:v>
                </c:pt>
                <c:pt idx="80">
                  <c:v>441.21199999999999</c:v>
                </c:pt>
                <c:pt idx="81">
                  <c:v>443.15199999999999</c:v>
                </c:pt>
                <c:pt idx="82">
                  <c:v>445.09100000000001</c:v>
                </c:pt>
                <c:pt idx="83">
                  <c:v>447.03</c:v>
                </c:pt>
                <c:pt idx="84">
                  <c:v>448.97</c:v>
                </c:pt>
                <c:pt idx="85">
                  <c:v>450.90899999999999</c:v>
                </c:pt>
                <c:pt idx="86">
                  <c:v>453.81799999999998</c:v>
                </c:pt>
                <c:pt idx="87">
                  <c:v>455.75799999999998</c:v>
                </c:pt>
                <c:pt idx="88">
                  <c:v>458.66699999999997</c:v>
                </c:pt>
                <c:pt idx="89">
                  <c:v>460.60599999999999</c:v>
                </c:pt>
                <c:pt idx="90">
                  <c:v>463.51499999999999</c:v>
                </c:pt>
                <c:pt idx="91">
                  <c:v>465.45499999999998</c:v>
                </c:pt>
                <c:pt idx="92">
                  <c:v>467.39400000000001</c:v>
                </c:pt>
                <c:pt idx="93">
                  <c:v>469.33300000000003</c:v>
                </c:pt>
                <c:pt idx="94">
                  <c:v>472.24200000000002</c:v>
                </c:pt>
                <c:pt idx="95">
                  <c:v>474.18200000000002</c:v>
                </c:pt>
                <c:pt idx="96">
                  <c:v>477.09100000000001</c:v>
                </c:pt>
                <c:pt idx="97">
                  <c:v>479.03</c:v>
                </c:pt>
                <c:pt idx="98">
                  <c:v>481.93900000000002</c:v>
                </c:pt>
                <c:pt idx="99">
                  <c:v>484.84800000000001</c:v>
                </c:pt>
                <c:pt idx="100">
                  <c:v>486.78800000000001</c:v>
                </c:pt>
                <c:pt idx="101">
                  <c:v>488.72699999999998</c:v>
                </c:pt>
                <c:pt idx="102">
                  <c:v>490.66699999999997</c:v>
                </c:pt>
                <c:pt idx="103">
                  <c:v>493.57600000000002</c:v>
                </c:pt>
                <c:pt idx="104">
                  <c:v>495.51499999999999</c:v>
                </c:pt>
                <c:pt idx="105">
                  <c:v>497.45499999999998</c:v>
                </c:pt>
                <c:pt idx="106">
                  <c:v>500.36399999999998</c:v>
                </c:pt>
                <c:pt idx="107">
                  <c:v>502.303</c:v>
                </c:pt>
                <c:pt idx="108">
                  <c:v>505.21199999999999</c:v>
                </c:pt>
                <c:pt idx="109">
                  <c:v>508.12099999999998</c:v>
                </c:pt>
                <c:pt idx="110">
                  <c:v>511.03</c:v>
                </c:pt>
                <c:pt idx="111">
                  <c:v>513.93899999999996</c:v>
                </c:pt>
                <c:pt idx="112">
                  <c:v>516.84799999999996</c:v>
                </c:pt>
                <c:pt idx="113">
                  <c:v>518.78800000000001</c:v>
                </c:pt>
                <c:pt idx="114">
                  <c:v>521.697</c:v>
                </c:pt>
                <c:pt idx="115">
                  <c:v>523.63599999999997</c:v>
                </c:pt>
                <c:pt idx="116">
                  <c:v>525.57600000000002</c:v>
                </c:pt>
                <c:pt idx="117">
                  <c:v>527.51499999999999</c:v>
                </c:pt>
                <c:pt idx="118">
                  <c:v>530.42399999999998</c:v>
                </c:pt>
                <c:pt idx="119">
                  <c:v>533.33299999999997</c:v>
                </c:pt>
                <c:pt idx="120">
                  <c:v>536.24199999999996</c:v>
                </c:pt>
                <c:pt idx="121">
                  <c:v>538.18200000000002</c:v>
                </c:pt>
                <c:pt idx="122">
                  <c:v>541.09100000000001</c:v>
                </c:pt>
                <c:pt idx="123">
                  <c:v>542.06100000000004</c:v>
                </c:pt>
                <c:pt idx="124">
                  <c:v>544</c:v>
                </c:pt>
                <c:pt idx="125">
                  <c:v>544.97</c:v>
                </c:pt>
                <c:pt idx="126">
                  <c:v>545.93899999999996</c:v>
                </c:pt>
                <c:pt idx="127">
                  <c:v>547.87900000000002</c:v>
                </c:pt>
                <c:pt idx="128">
                  <c:v>548.84799999999996</c:v>
                </c:pt>
                <c:pt idx="129">
                  <c:v>549.81799999999998</c:v>
                </c:pt>
                <c:pt idx="130">
                  <c:v>550.78800000000001</c:v>
                </c:pt>
                <c:pt idx="131">
                  <c:v>552.72699999999998</c:v>
                </c:pt>
                <c:pt idx="132">
                  <c:v>553.697</c:v>
                </c:pt>
                <c:pt idx="133">
                  <c:v>554.66700000000003</c:v>
                </c:pt>
                <c:pt idx="134">
                  <c:v>556.60599999999999</c:v>
                </c:pt>
                <c:pt idx="135">
                  <c:v>557.57600000000002</c:v>
                </c:pt>
                <c:pt idx="136">
                  <c:v>558.54499999999996</c:v>
                </c:pt>
                <c:pt idx="137">
                  <c:v>560.48500000000001</c:v>
                </c:pt>
                <c:pt idx="138">
                  <c:v>561.45500000000004</c:v>
                </c:pt>
                <c:pt idx="139">
                  <c:v>563.39400000000001</c:v>
                </c:pt>
                <c:pt idx="140">
                  <c:v>565.33299999999997</c:v>
                </c:pt>
                <c:pt idx="141">
                  <c:v>567.27300000000002</c:v>
                </c:pt>
                <c:pt idx="142">
                  <c:v>569.21199999999999</c:v>
                </c:pt>
                <c:pt idx="143">
                  <c:v>571.15200000000004</c:v>
                </c:pt>
                <c:pt idx="144">
                  <c:v>573.09100000000001</c:v>
                </c:pt>
                <c:pt idx="145">
                  <c:v>575.03</c:v>
                </c:pt>
                <c:pt idx="146">
                  <c:v>576.97</c:v>
                </c:pt>
                <c:pt idx="147">
                  <c:v>578.90899999999999</c:v>
                </c:pt>
                <c:pt idx="148">
                  <c:v>580.84799999999996</c:v>
                </c:pt>
                <c:pt idx="149">
                  <c:v>582.78800000000001</c:v>
                </c:pt>
                <c:pt idx="150">
                  <c:v>583.75800000000004</c:v>
                </c:pt>
                <c:pt idx="151">
                  <c:v>584.72699999999998</c:v>
                </c:pt>
                <c:pt idx="152">
                  <c:v>584.72699999999998</c:v>
                </c:pt>
                <c:pt idx="153">
                  <c:v>584.72699999999998</c:v>
                </c:pt>
                <c:pt idx="154">
                  <c:v>585.697</c:v>
                </c:pt>
                <c:pt idx="155">
                  <c:v>585.697</c:v>
                </c:pt>
                <c:pt idx="156">
                  <c:v>585.697</c:v>
                </c:pt>
                <c:pt idx="157">
                  <c:v>585.697</c:v>
                </c:pt>
                <c:pt idx="158">
                  <c:v>585.697</c:v>
                </c:pt>
                <c:pt idx="159">
                  <c:v>586.66700000000003</c:v>
                </c:pt>
                <c:pt idx="160">
                  <c:v>586.66700000000003</c:v>
                </c:pt>
                <c:pt idx="161">
                  <c:v>587.63599999999997</c:v>
                </c:pt>
                <c:pt idx="162">
                  <c:v>587.63599999999997</c:v>
                </c:pt>
                <c:pt idx="163">
                  <c:v>587.63599999999997</c:v>
                </c:pt>
                <c:pt idx="164">
                  <c:v>587.63599999999997</c:v>
                </c:pt>
                <c:pt idx="165">
                  <c:v>587.63599999999997</c:v>
                </c:pt>
                <c:pt idx="166">
                  <c:v>588.60599999999999</c:v>
                </c:pt>
                <c:pt idx="167">
                  <c:v>588.60599999999999</c:v>
                </c:pt>
                <c:pt idx="168">
                  <c:v>588.60599999999999</c:v>
                </c:pt>
                <c:pt idx="169">
                  <c:v>589.57600000000002</c:v>
                </c:pt>
                <c:pt idx="170">
                  <c:v>589.57600000000002</c:v>
                </c:pt>
                <c:pt idx="171">
                  <c:v>589.57600000000002</c:v>
                </c:pt>
                <c:pt idx="172">
                  <c:v>589.57600000000002</c:v>
                </c:pt>
                <c:pt idx="173">
                  <c:v>590.54499999999996</c:v>
                </c:pt>
                <c:pt idx="174">
                  <c:v>590.54499999999996</c:v>
                </c:pt>
                <c:pt idx="175">
                  <c:v>590.54499999999996</c:v>
                </c:pt>
                <c:pt idx="176">
                  <c:v>590.54499999999996</c:v>
                </c:pt>
                <c:pt idx="177">
                  <c:v>590.54499999999996</c:v>
                </c:pt>
                <c:pt idx="178">
                  <c:v>590.54499999999996</c:v>
                </c:pt>
                <c:pt idx="179">
                  <c:v>590.54499999999996</c:v>
                </c:pt>
                <c:pt idx="180">
                  <c:v>590.54499999999996</c:v>
                </c:pt>
                <c:pt idx="181">
                  <c:v>590.54499999999996</c:v>
                </c:pt>
                <c:pt idx="182">
                  <c:v>590.54499999999996</c:v>
                </c:pt>
                <c:pt idx="183">
                  <c:v>590.54499999999996</c:v>
                </c:pt>
                <c:pt idx="184">
                  <c:v>590.54499999999996</c:v>
                </c:pt>
                <c:pt idx="185">
                  <c:v>590.54499999999996</c:v>
                </c:pt>
                <c:pt idx="186">
                  <c:v>590.54499999999996</c:v>
                </c:pt>
                <c:pt idx="187">
                  <c:v>590.54499999999996</c:v>
                </c:pt>
                <c:pt idx="188">
                  <c:v>590.54499999999996</c:v>
                </c:pt>
                <c:pt idx="189">
                  <c:v>590.54499999999996</c:v>
                </c:pt>
                <c:pt idx="190">
                  <c:v>590.54499999999996</c:v>
                </c:pt>
                <c:pt idx="191">
                  <c:v>590.54499999999996</c:v>
                </c:pt>
                <c:pt idx="192">
                  <c:v>590.54499999999996</c:v>
                </c:pt>
                <c:pt idx="193">
                  <c:v>590.54499999999996</c:v>
                </c:pt>
                <c:pt idx="194">
                  <c:v>590.54499999999996</c:v>
                </c:pt>
                <c:pt idx="195">
                  <c:v>590.54499999999996</c:v>
                </c:pt>
                <c:pt idx="196">
                  <c:v>590.54499999999996</c:v>
                </c:pt>
                <c:pt idx="197">
                  <c:v>590.54499999999996</c:v>
                </c:pt>
                <c:pt idx="198">
                  <c:v>590.54499999999996</c:v>
                </c:pt>
                <c:pt idx="199">
                  <c:v>590.54499999999996</c:v>
                </c:pt>
                <c:pt idx="200">
                  <c:v>590.54499999999996</c:v>
                </c:pt>
                <c:pt idx="201">
                  <c:v>590.54499999999996</c:v>
                </c:pt>
                <c:pt idx="202">
                  <c:v>590.54499999999996</c:v>
                </c:pt>
                <c:pt idx="203">
                  <c:v>590.54499999999996</c:v>
                </c:pt>
                <c:pt idx="204">
                  <c:v>590.54499999999996</c:v>
                </c:pt>
                <c:pt idx="205">
                  <c:v>590.54499999999996</c:v>
                </c:pt>
                <c:pt idx="206">
                  <c:v>590.54499999999996</c:v>
                </c:pt>
                <c:pt idx="207">
                  <c:v>590.54499999999996</c:v>
                </c:pt>
                <c:pt idx="208">
                  <c:v>590.54499999999996</c:v>
                </c:pt>
                <c:pt idx="209">
                  <c:v>589.57600000000002</c:v>
                </c:pt>
                <c:pt idx="210">
                  <c:v>589.57600000000002</c:v>
                </c:pt>
                <c:pt idx="211">
                  <c:v>588.60599999999999</c:v>
                </c:pt>
                <c:pt idx="212">
                  <c:v>587.63599999999997</c:v>
                </c:pt>
                <c:pt idx="213">
                  <c:v>587.63599999999997</c:v>
                </c:pt>
                <c:pt idx="214">
                  <c:v>586.66700000000003</c:v>
                </c:pt>
                <c:pt idx="215">
                  <c:v>585.697</c:v>
                </c:pt>
                <c:pt idx="216">
                  <c:v>584.72699999999998</c:v>
                </c:pt>
                <c:pt idx="217">
                  <c:v>583.75800000000004</c:v>
                </c:pt>
                <c:pt idx="218">
                  <c:v>582.78800000000001</c:v>
                </c:pt>
                <c:pt idx="219">
                  <c:v>581.81799999999998</c:v>
                </c:pt>
                <c:pt idx="220">
                  <c:v>580.84799999999996</c:v>
                </c:pt>
                <c:pt idx="221">
                  <c:v>579.87900000000002</c:v>
                </c:pt>
                <c:pt idx="222">
                  <c:v>578.90899999999999</c:v>
                </c:pt>
                <c:pt idx="223">
                  <c:v>578.90899999999999</c:v>
                </c:pt>
                <c:pt idx="224">
                  <c:v>577.93899999999996</c:v>
                </c:pt>
                <c:pt idx="225">
                  <c:v>576.97</c:v>
                </c:pt>
                <c:pt idx="226">
                  <c:v>576.97</c:v>
                </c:pt>
                <c:pt idx="227">
                  <c:v>576</c:v>
                </c:pt>
                <c:pt idx="228">
                  <c:v>575.03</c:v>
                </c:pt>
                <c:pt idx="229">
                  <c:v>574.06100000000004</c:v>
                </c:pt>
                <c:pt idx="230">
                  <c:v>574.06100000000004</c:v>
                </c:pt>
                <c:pt idx="231">
                  <c:v>573.09100000000001</c:v>
                </c:pt>
                <c:pt idx="232">
                  <c:v>572.12099999999998</c:v>
                </c:pt>
                <c:pt idx="233">
                  <c:v>572.12099999999998</c:v>
                </c:pt>
                <c:pt idx="234">
                  <c:v>571.15200000000004</c:v>
                </c:pt>
                <c:pt idx="235">
                  <c:v>571.15200000000004</c:v>
                </c:pt>
                <c:pt idx="236">
                  <c:v>570.18200000000002</c:v>
                </c:pt>
                <c:pt idx="237">
                  <c:v>570.18200000000002</c:v>
                </c:pt>
                <c:pt idx="238">
                  <c:v>569.21199999999999</c:v>
                </c:pt>
                <c:pt idx="239">
                  <c:v>569.21199999999999</c:v>
                </c:pt>
                <c:pt idx="240">
                  <c:v>568.24199999999996</c:v>
                </c:pt>
                <c:pt idx="241">
                  <c:v>568.24199999999996</c:v>
                </c:pt>
                <c:pt idx="242">
                  <c:v>567.27300000000002</c:v>
                </c:pt>
                <c:pt idx="243">
                  <c:v>566.303</c:v>
                </c:pt>
                <c:pt idx="244">
                  <c:v>564.36400000000003</c:v>
                </c:pt>
                <c:pt idx="245">
                  <c:v>563.39400000000001</c:v>
                </c:pt>
                <c:pt idx="246">
                  <c:v>562.42399999999998</c:v>
                </c:pt>
                <c:pt idx="247">
                  <c:v>561.45500000000004</c:v>
                </c:pt>
                <c:pt idx="248">
                  <c:v>559.51499999999999</c:v>
                </c:pt>
                <c:pt idx="249">
                  <c:v>557.57600000000002</c:v>
                </c:pt>
                <c:pt idx="250">
                  <c:v>556.60599999999999</c:v>
                </c:pt>
                <c:pt idx="251">
                  <c:v>554.66700000000003</c:v>
                </c:pt>
                <c:pt idx="252">
                  <c:v>553.697</c:v>
                </c:pt>
                <c:pt idx="253">
                  <c:v>551.75800000000004</c:v>
                </c:pt>
                <c:pt idx="254">
                  <c:v>549.81799999999998</c:v>
                </c:pt>
                <c:pt idx="255">
                  <c:v>548.84799999999996</c:v>
                </c:pt>
                <c:pt idx="256">
                  <c:v>546.90899999999999</c:v>
                </c:pt>
                <c:pt idx="257">
                  <c:v>544.97</c:v>
                </c:pt>
                <c:pt idx="258">
                  <c:v>544</c:v>
                </c:pt>
                <c:pt idx="259">
                  <c:v>543.03</c:v>
                </c:pt>
                <c:pt idx="260">
                  <c:v>542.06100000000004</c:v>
                </c:pt>
                <c:pt idx="261">
                  <c:v>540.12099999999998</c:v>
                </c:pt>
                <c:pt idx="262">
                  <c:v>538.18200000000002</c:v>
                </c:pt>
                <c:pt idx="263">
                  <c:v>536.24199999999996</c:v>
                </c:pt>
                <c:pt idx="264">
                  <c:v>534.303</c:v>
                </c:pt>
                <c:pt idx="265">
                  <c:v>532.36400000000003</c:v>
                </c:pt>
                <c:pt idx="266">
                  <c:v>530.42399999999998</c:v>
                </c:pt>
                <c:pt idx="267">
                  <c:v>527.51499999999999</c:v>
                </c:pt>
                <c:pt idx="268">
                  <c:v>525.57600000000002</c:v>
                </c:pt>
                <c:pt idx="269">
                  <c:v>523.63599999999997</c:v>
                </c:pt>
                <c:pt idx="270">
                  <c:v>521.697</c:v>
                </c:pt>
                <c:pt idx="271">
                  <c:v>520.72699999999998</c:v>
                </c:pt>
                <c:pt idx="272">
                  <c:v>518.78800000000001</c:v>
                </c:pt>
                <c:pt idx="273">
                  <c:v>516.84799999999996</c:v>
                </c:pt>
                <c:pt idx="274">
                  <c:v>514.90899999999999</c:v>
                </c:pt>
                <c:pt idx="275">
                  <c:v>512.97</c:v>
                </c:pt>
                <c:pt idx="276">
                  <c:v>511.03</c:v>
                </c:pt>
                <c:pt idx="277">
                  <c:v>510.06099999999998</c:v>
                </c:pt>
                <c:pt idx="278">
                  <c:v>508.12099999999998</c:v>
                </c:pt>
                <c:pt idx="279">
                  <c:v>506.18200000000002</c:v>
                </c:pt>
                <c:pt idx="280">
                  <c:v>504.24200000000002</c:v>
                </c:pt>
                <c:pt idx="281">
                  <c:v>502.303</c:v>
                </c:pt>
                <c:pt idx="282">
                  <c:v>500.36399999999998</c:v>
                </c:pt>
                <c:pt idx="283">
                  <c:v>497.45499999999998</c:v>
                </c:pt>
                <c:pt idx="284">
                  <c:v>495.51499999999999</c:v>
                </c:pt>
                <c:pt idx="285">
                  <c:v>494.54500000000002</c:v>
                </c:pt>
                <c:pt idx="286">
                  <c:v>492.60599999999999</c:v>
                </c:pt>
                <c:pt idx="287">
                  <c:v>490.66699999999997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3D8-4137-A9C7-59688586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45455"/>
        <c:axId val="125655055"/>
      </c:scatterChart>
      <c:valAx>
        <c:axId val="55345744"/>
        <c:scaling>
          <c:orientation val="minMax"/>
          <c:min val="500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Engine Speed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931232"/>
        <c:crosses val="autoZero"/>
        <c:crossBetween val="midCat"/>
      </c:valAx>
      <c:valAx>
        <c:axId val="2093123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Power [HP]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5345744"/>
        <c:crosses val="autoZero"/>
        <c:crossBetween val="midCat"/>
      </c:valAx>
      <c:valAx>
        <c:axId val="125655055"/>
        <c:scaling>
          <c:orientation val="minMax"/>
          <c:max val="950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Torque</a:t>
                </a:r>
                <a:r>
                  <a:rPr lang="en-GB" baseline="0"/>
                  <a:t> [Nm]</a:t>
                </a:r>
                <a:endParaRPr lang="en-GB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chemeClr val="tx1">
                <a:tint val="75000"/>
                <a:alpha val="98000"/>
              </a:schemeClr>
            </a:solidFill>
          </a:ln>
          <a:effectLst>
            <a:glow>
              <a:schemeClr val="accent1">
                <a:alpha val="60000"/>
              </a:schemeClr>
            </a:glow>
            <a:softEdge rad="0"/>
          </a:effectLst>
        </c:spPr>
        <c:crossAx val="125645455"/>
        <c:crosses val="max"/>
        <c:crossBetween val="midCat"/>
        <c:majorUnit val="150"/>
        <c:minorUnit val="100"/>
      </c:valAx>
      <c:valAx>
        <c:axId val="1256454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655055"/>
        <c:crosses val="autoZero"/>
        <c:crossBetween val="midCat"/>
      </c:valAx>
      <c:spPr>
        <a:effectLst/>
      </c:spPr>
    </c:plotArea>
    <c:legend>
      <c:legendPos val="l"/>
      <c:layout>
        <c:manualLayout>
          <c:xMode val="edge"/>
          <c:yMode val="edge"/>
          <c:x val="0.68783379130406486"/>
          <c:y val="0.61354821131505943"/>
          <c:w val="0.1148165506654962"/>
          <c:h val="8.9751605728483758E-2"/>
        </c:manualLayout>
      </c:layout>
      <c:overlay val="1"/>
    </c:legend>
    <c:plotVisOnly val="1"/>
    <c:dispBlanksAs val="gap"/>
    <c:showDLblsOverMax val="0"/>
    <c:extLst/>
  </c:chart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6</a:t>
            </a:r>
            <a:r>
              <a:rPr lang="en-GB" baseline="30000"/>
              <a:t>th</a:t>
            </a:r>
            <a:r>
              <a:rPr lang="en-GB" baseline="0"/>
              <a:t> Gear (</a:t>
            </a:r>
            <a:r>
              <a:rPr lang="el-GR" sz="1400" b="0" i="0" u="none" strike="noStrike" baseline="0">
                <a:effectLst/>
              </a:rPr>
              <a:t>τ</a:t>
            </a:r>
            <a:r>
              <a:rPr lang="en-GB" baseline="0"/>
              <a:t> = 1.146789)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'Power-Speed Relation VI Gear'!$E$4:$E$193</c:f>
              <c:numCache>
                <c:formatCode>0.00</c:formatCode>
                <c:ptCount val="190"/>
                <c:pt idx="0">
                  <c:v>48.800348141013629</c:v>
                </c:pt>
                <c:pt idx="1">
                  <c:v>49.342791035184042</c:v>
                </c:pt>
                <c:pt idx="2">
                  <c:v>50.427676823524834</c:v>
                </c:pt>
                <c:pt idx="3">
                  <c:v>51.241341164780451</c:v>
                </c:pt>
                <c:pt idx="4">
                  <c:v>52.326226953121257</c:v>
                </c:pt>
                <c:pt idx="5">
                  <c:v>53.139891294376852</c:v>
                </c:pt>
                <c:pt idx="6">
                  <c:v>53.953555635632455</c:v>
                </c:pt>
                <c:pt idx="7">
                  <c:v>55.038441423973268</c:v>
                </c:pt>
                <c:pt idx="8">
                  <c:v>56.123327212314081</c:v>
                </c:pt>
                <c:pt idx="9">
                  <c:v>56.936991553569683</c:v>
                </c:pt>
                <c:pt idx="10">
                  <c:v>57.750655894825293</c:v>
                </c:pt>
                <c:pt idx="11">
                  <c:v>58.835541683166099</c:v>
                </c:pt>
                <c:pt idx="12">
                  <c:v>59.649206024421694</c:v>
                </c:pt>
                <c:pt idx="13">
                  <c:v>60.462870365677304</c:v>
                </c:pt>
                <c:pt idx="14">
                  <c:v>61.54775615401811</c:v>
                </c:pt>
                <c:pt idx="15">
                  <c:v>62.361420495273734</c:v>
                </c:pt>
                <c:pt idx="16">
                  <c:v>63.717527730699729</c:v>
                </c:pt>
                <c:pt idx="17">
                  <c:v>65.073634966125738</c:v>
                </c:pt>
                <c:pt idx="18">
                  <c:v>66.429742201551747</c:v>
                </c:pt>
                <c:pt idx="19">
                  <c:v>67.514140181534486</c:v>
                </c:pt>
                <c:pt idx="20">
                  <c:v>68.599025969875285</c:v>
                </c:pt>
                <c:pt idx="21">
                  <c:v>69.412690311130902</c:v>
                </c:pt>
                <c:pt idx="22">
                  <c:v>70.497576099471701</c:v>
                </c:pt>
                <c:pt idx="23">
                  <c:v>71.311240440727303</c:v>
                </c:pt>
                <c:pt idx="24">
                  <c:v>72.396126229068116</c:v>
                </c:pt>
                <c:pt idx="25">
                  <c:v>73.209790570323719</c:v>
                </c:pt>
                <c:pt idx="26">
                  <c:v>73.752233464494125</c:v>
                </c:pt>
                <c:pt idx="27">
                  <c:v>74.837119252834938</c:v>
                </c:pt>
                <c:pt idx="28">
                  <c:v>75.650783594090527</c:v>
                </c:pt>
                <c:pt idx="29">
                  <c:v>76.464447935346129</c:v>
                </c:pt>
                <c:pt idx="30">
                  <c:v>77.278112276601746</c:v>
                </c:pt>
                <c:pt idx="31">
                  <c:v>78.362998064942559</c:v>
                </c:pt>
                <c:pt idx="32">
                  <c:v>79.176662406198147</c:v>
                </c:pt>
                <c:pt idx="33">
                  <c:v>79.990326747453764</c:v>
                </c:pt>
                <c:pt idx="34">
                  <c:v>81.346433982879759</c:v>
                </c:pt>
                <c:pt idx="35">
                  <c:v>82.702541218305782</c:v>
                </c:pt>
                <c:pt idx="36">
                  <c:v>83.787427006646595</c:v>
                </c:pt>
                <c:pt idx="37">
                  <c:v>84.87231279498738</c:v>
                </c:pt>
                <c:pt idx="38">
                  <c:v>85.957198583328207</c:v>
                </c:pt>
                <c:pt idx="39">
                  <c:v>86.77086292458381</c:v>
                </c:pt>
                <c:pt idx="40">
                  <c:v>87.584527265839412</c:v>
                </c:pt>
                <c:pt idx="41">
                  <c:v>88.12697016000979</c:v>
                </c:pt>
                <c:pt idx="42">
                  <c:v>88.669413054180225</c:v>
                </c:pt>
                <c:pt idx="43">
                  <c:v>89.211855948350617</c:v>
                </c:pt>
                <c:pt idx="44">
                  <c:v>90.025520289606234</c:v>
                </c:pt>
                <c:pt idx="45">
                  <c:v>90.296741736691416</c:v>
                </c:pt>
                <c:pt idx="46">
                  <c:v>91.110406077947033</c:v>
                </c:pt>
                <c:pt idx="47">
                  <c:v>92.195291866287832</c:v>
                </c:pt>
                <c:pt idx="48">
                  <c:v>93.008956207543449</c:v>
                </c:pt>
                <c:pt idx="49">
                  <c:v>93.822620548799051</c:v>
                </c:pt>
                <c:pt idx="50">
                  <c:v>94.90750633713985</c:v>
                </c:pt>
                <c:pt idx="51">
                  <c:v>95.449949231310256</c:v>
                </c:pt>
                <c:pt idx="52">
                  <c:v>96.263613572565873</c:v>
                </c:pt>
                <c:pt idx="53">
                  <c:v>96.806056466736266</c:v>
                </c:pt>
                <c:pt idx="54">
                  <c:v>97.619720807991882</c:v>
                </c:pt>
                <c:pt idx="55">
                  <c:v>98.433385149247471</c:v>
                </c:pt>
                <c:pt idx="56">
                  <c:v>99.247049490503073</c:v>
                </c:pt>
                <c:pt idx="57">
                  <c:v>100.06071383175869</c:v>
                </c:pt>
                <c:pt idx="58">
                  <c:v>100.87437817301428</c:v>
                </c:pt>
                <c:pt idx="59">
                  <c:v>101.68804251426991</c:v>
                </c:pt>
                <c:pt idx="60">
                  <c:v>102.77292830261069</c:v>
                </c:pt>
                <c:pt idx="61">
                  <c:v>103.58659264386633</c:v>
                </c:pt>
                <c:pt idx="62">
                  <c:v>104.67147843220712</c:v>
                </c:pt>
                <c:pt idx="63">
                  <c:v>105.75636422054791</c:v>
                </c:pt>
                <c:pt idx="64">
                  <c:v>107.11247145597393</c:v>
                </c:pt>
                <c:pt idx="65">
                  <c:v>107.65491435014432</c:v>
                </c:pt>
                <c:pt idx="66">
                  <c:v>108.46857869139996</c:v>
                </c:pt>
                <c:pt idx="67">
                  <c:v>109.28224303265554</c:v>
                </c:pt>
                <c:pt idx="68">
                  <c:v>110.36712882099637</c:v>
                </c:pt>
                <c:pt idx="69">
                  <c:v>111.72323605642235</c:v>
                </c:pt>
                <c:pt idx="70">
                  <c:v>112.80812184476318</c:v>
                </c:pt>
                <c:pt idx="71">
                  <c:v>114.43545052727436</c:v>
                </c:pt>
                <c:pt idx="72">
                  <c:v>115.52033631561518</c:v>
                </c:pt>
                <c:pt idx="73">
                  <c:v>116.60522210395598</c:v>
                </c:pt>
                <c:pt idx="74">
                  <c:v>117.41888644521161</c:v>
                </c:pt>
                <c:pt idx="75">
                  <c:v>118.2325507864672</c:v>
                </c:pt>
                <c:pt idx="76">
                  <c:v>119.31743657480801</c:v>
                </c:pt>
                <c:pt idx="77">
                  <c:v>120.9447652573192</c:v>
                </c:pt>
                <c:pt idx="78">
                  <c:v>122.84331538691563</c:v>
                </c:pt>
                <c:pt idx="79">
                  <c:v>124.47064406942685</c:v>
                </c:pt>
                <c:pt idx="80">
                  <c:v>126.36919419902326</c:v>
                </c:pt>
                <c:pt idx="81">
                  <c:v>127.99652288153445</c:v>
                </c:pt>
                <c:pt idx="82">
                  <c:v>129.89507301113088</c:v>
                </c:pt>
                <c:pt idx="83">
                  <c:v>131.79362314072728</c:v>
                </c:pt>
                <c:pt idx="84">
                  <c:v>134.23461616449413</c:v>
                </c:pt>
                <c:pt idx="85">
                  <c:v>136.4043877411757</c:v>
                </c:pt>
                <c:pt idx="86">
                  <c:v>138.30293787077213</c:v>
                </c:pt>
                <c:pt idx="87">
                  <c:v>139.93026655328333</c:v>
                </c:pt>
                <c:pt idx="88">
                  <c:v>141.01515234162414</c:v>
                </c:pt>
                <c:pt idx="89">
                  <c:v>142.64248102413538</c:v>
                </c:pt>
                <c:pt idx="90">
                  <c:v>144.54103115373178</c:v>
                </c:pt>
                <c:pt idx="91">
                  <c:v>146.9820241774986</c:v>
                </c:pt>
                <c:pt idx="92">
                  <c:v>148.33813141292458</c:v>
                </c:pt>
                <c:pt idx="93">
                  <c:v>150.50790298960621</c:v>
                </c:pt>
                <c:pt idx="94">
                  <c:v>152.67718675792975</c:v>
                </c:pt>
                <c:pt idx="95">
                  <c:v>154.57573688752615</c:v>
                </c:pt>
                <c:pt idx="96">
                  <c:v>156.47428701712255</c:v>
                </c:pt>
                <c:pt idx="97">
                  <c:v>158.6440585938042</c:v>
                </c:pt>
                <c:pt idx="98">
                  <c:v>160.8138301704858</c:v>
                </c:pt>
                <c:pt idx="99">
                  <c:v>163.25482319425262</c:v>
                </c:pt>
                <c:pt idx="100">
                  <c:v>165.42459477093422</c:v>
                </c:pt>
                <c:pt idx="101">
                  <c:v>167.32314490053062</c:v>
                </c:pt>
                <c:pt idx="102">
                  <c:v>169.76413792429747</c:v>
                </c:pt>
                <c:pt idx="103">
                  <c:v>171.39146660680868</c:v>
                </c:pt>
                <c:pt idx="104">
                  <c:v>173.5612381834903</c:v>
                </c:pt>
                <c:pt idx="105">
                  <c:v>175.4597883130867</c:v>
                </c:pt>
                <c:pt idx="106">
                  <c:v>177.6295598897683</c:v>
                </c:pt>
                <c:pt idx="107">
                  <c:v>179.52811001936473</c:v>
                </c:pt>
                <c:pt idx="108">
                  <c:v>180.88421725479071</c:v>
                </c:pt>
                <c:pt idx="109">
                  <c:v>181.69788159604636</c:v>
                </c:pt>
                <c:pt idx="110">
                  <c:v>183.05398883147234</c:v>
                </c:pt>
                <c:pt idx="111">
                  <c:v>184.95253896106877</c:v>
                </c:pt>
                <c:pt idx="112">
                  <c:v>186.03742474940952</c:v>
                </c:pt>
                <c:pt idx="113">
                  <c:v>187.66475343192076</c:v>
                </c:pt>
                <c:pt idx="114">
                  <c:v>189.83452500860236</c:v>
                </c:pt>
                <c:pt idx="115">
                  <c:v>192.27551803236921</c:v>
                </c:pt>
                <c:pt idx="116">
                  <c:v>194.17406816196561</c:v>
                </c:pt>
                <c:pt idx="117">
                  <c:v>196.61506118573243</c:v>
                </c:pt>
                <c:pt idx="118">
                  <c:v>198.51361131532886</c:v>
                </c:pt>
                <c:pt idx="119">
                  <c:v>200.41216144492526</c:v>
                </c:pt>
                <c:pt idx="120">
                  <c:v>202.31071157452169</c:v>
                </c:pt>
                <c:pt idx="121">
                  <c:v>204.75170459828848</c:v>
                </c:pt>
                <c:pt idx="122">
                  <c:v>207.4639190691405</c:v>
                </c:pt>
                <c:pt idx="123">
                  <c:v>209.3624691987369</c:v>
                </c:pt>
                <c:pt idx="124">
                  <c:v>211.26101932833333</c:v>
                </c:pt>
                <c:pt idx="125">
                  <c:v>213.43079090501496</c:v>
                </c:pt>
                <c:pt idx="126">
                  <c:v>215.87178392878175</c:v>
                </c:pt>
                <c:pt idx="127">
                  <c:v>217.49911261129293</c:v>
                </c:pt>
                <c:pt idx="128">
                  <c:v>219.66888418797458</c:v>
                </c:pt>
                <c:pt idx="129">
                  <c:v>221.56743431757101</c:v>
                </c:pt>
                <c:pt idx="130">
                  <c:v>223.19476300008219</c:v>
                </c:pt>
                <c:pt idx="131">
                  <c:v>224.8220916825934</c:v>
                </c:pt>
                <c:pt idx="132">
                  <c:v>226.44942036510463</c:v>
                </c:pt>
                <c:pt idx="133">
                  <c:v>228.34797049470106</c:v>
                </c:pt>
                <c:pt idx="134">
                  <c:v>229.70407773012701</c:v>
                </c:pt>
                <c:pt idx="135">
                  <c:v>231.87384930680867</c:v>
                </c:pt>
                <c:pt idx="136">
                  <c:v>233.2299565422347</c:v>
                </c:pt>
                <c:pt idx="137">
                  <c:v>235.1285066718311</c:v>
                </c:pt>
                <c:pt idx="138">
                  <c:v>237.2982782485127</c:v>
                </c:pt>
                <c:pt idx="139">
                  <c:v>238.65389767558062</c:v>
                </c:pt>
                <c:pt idx="140">
                  <c:v>240.55244780517702</c:v>
                </c:pt>
                <c:pt idx="141">
                  <c:v>242.72221938185871</c:v>
                </c:pt>
                <c:pt idx="142">
                  <c:v>244.62076951145505</c:v>
                </c:pt>
                <c:pt idx="143">
                  <c:v>246.51931964105151</c:v>
                </c:pt>
                <c:pt idx="144">
                  <c:v>248.41786977064785</c:v>
                </c:pt>
                <c:pt idx="145">
                  <c:v>250.31641990024431</c:v>
                </c:pt>
                <c:pt idx="146">
                  <c:v>251.94374858275549</c:v>
                </c:pt>
                <c:pt idx="147">
                  <c:v>254.11352015943714</c:v>
                </c:pt>
                <c:pt idx="148">
                  <c:v>256.28329173611877</c:v>
                </c:pt>
                <c:pt idx="149">
                  <c:v>258.18184186571511</c:v>
                </c:pt>
                <c:pt idx="150">
                  <c:v>260.08039199531157</c:v>
                </c:pt>
                <c:pt idx="151">
                  <c:v>262.2501635719932</c:v>
                </c:pt>
                <c:pt idx="152">
                  <c:v>264.41993514867477</c:v>
                </c:pt>
                <c:pt idx="153">
                  <c:v>266.58970672535639</c:v>
                </c:pt>
                <c:pt idx="154">
                  <c:v>269.03069974912319</c:v>
                </c:pt>
                <c:pt idx="155">
                  <c:v>271.20047132580481</c:v>
                </c:pt>
                <c:pt idx="156">
                  <c:v>273.09902145540121</c:v>
                </c:pt>
                <c:pt idx="157">
                  <c:v>275.54001447916806</c:v>
                </c:pt>
                <c:pt idx="158">
                  <c:v>277.1673431616793</c:v>
                </c:pt>
                <c:pt idx="159">
                  <c:v>279.0658932912757</c:v>
                </c:pt>
                <c:pt idx="160">
                  <c:v>280.9644434208721</c:v>
                </c:pt>
                <c:pt idx="161">
                  <c:v>282.59177210338328</c:v>
                </c:pt>
                <c:pt idx="162">
                  <c:v>284.49032223297974</c:v>
                </c:pt>
                <c:pt idx="163">
                  <c:v>286.38887236257614</c:v>
                </c:pt>
                <c:pt idx="164">
                  <c:v>288.2874224921726</c:v>
                </c:pt>
                <c:pt idx="165">
                  <c:v>290.18597262176894</c:v>
                </c:pt>
                <c:pt idx="166">
                  <c:v>292.62696564553573</c:v>
                </c:pt>
                <c:pt idx="167">
                  <c:v>294.25429432804697</c:v>
                </c:pt>
                <c:pt idx="168">
                  <c:v>296.42406590472859</c:v>
                </c:pt>
                <c:pt idx="169">
                  <c:v>299.13628037558061</c:v>
                </c:pt>
                <c:pt idx="170">
                  <c:v>302.39093774060308</c:v>
                </c:pt>
                <c:pt idx="171">
                  <c:v>304.56070931728465</c:v>
                </c:pt>
                <c:pt idx="172">
                  <c:v>306.18803799979588</c:v>
                </c:pt>
                <c:pt idx="173">
                  <c:v>307.00170234105144</c:v>
                </c:pt>
                <c:pt idx="174">
                  <c:v>308.08658812939223</c:v>
                </c:pt>
                <c:pt idx="175">
                  <c:v>309.17147391773312</c:v>
                </c:pt>
                <c:pt idx="176">
                  <c:v>309.98513825898868</c:v>
                </c:pt>
                <c:pt idx="177">
                  <c:v>311.61246694149992</c:v>
                </c:pt>
                <c:pt idx="178">
                  <c:v>313.23979562401109</c:v>
                </c:pt>
                <c:pt idx="179">
                  <c:v>314.59590285943716</c:v>
                </c:pt>
                <c:pt idx="180">
                  <c:v>315.95201009486311</c:v>
                </c:pt>
                <c:pt idx="181">
                  <c:v>317.85056022445951</c:v>
                </c:pt>
                <c:pt idx="182">
                  <c:v>319.20666745988552</c:v>
                </c:pt>
                <c:pt idx="183">
                  <c:v>320.83399614239676</c:v>
                </c:pt>
                <c:pt idx="184">
                  <c:v>322.46132482490799</c:v>
                </c:pt>
                <c:pt idx="185">
                  <c:v>324.08816569906111</c:v>
                </c:pt>
                <c:pt idx="186">
                  <c:v>325.98671582865757</c:v>
                </c:pt>
                <c:pt idx="187">
                  <c:v>327.34282306408346</c:v>
                </c:pt>
                <c:pt idx="188">
                  <c:v>329.51259464076514</c:v>
                </c:pt>
                <c:pt idx="189">
                  <c:v>330.86870187619115</c:v>
                </c:pt>
              </c:numCache>
            </c:numRef>
          </c:xVal>
          <c:yVal>
            <c:numRef>
              <c:f>'Power-Speed Relation VI Gear'!$D$4:$D$193</c:f>
              <c:numCache>
                <c:formatCode>General</c:formatCode>
                <c:ptCount val="190"/>
                <c:pt idx="0">
                  <c:v>36.65457</c:v>
                </c:pt>
                <c:pt idx="1">
                  <c:v>37.963620000000006</c:v>
                </c:pt>
                <c:pt idx="2">
                  <c:v>39.927239999999998</c:v>
                </c:pt>
                <c:pt idx="3">
                  <c:v>41.236379999999997</c:v>
                </c:pt>
                <c:pt idx="4">
                  <c:v>43.2</c:v>
                </c:pt>
                <c:pt idx="5">
                  <c:v>44.509050000000002</c:v>
                </c:pt>
                <c:pt idx="6">
                  <c:v>45.818190000000001</c:v>
                </c:pt>
                <c:pt idx="7">
                  <c:v>47.78181</c:v>
                </c:pt>
                <c:pt idx="8">
                  <c:v>49.745429999999999</c:v>
                </c:pt>
                <c:pt idx="9">
                  <c:v>51.054569999999998</c:v>
                </c:pt>
                <c:pt idx="10">
                  <c:v>52.363620000000004</c:v>
                </c:pt>
                <c:pt idx="11">
                  <c:v>54.327239999999996</c:v>
                </c:pt>
                <c:pt idx="12">
                  <c:v>56.290949999999995</c:v>
                </c:pt>
                <c:pt idx="13">
                  <c:v>57.6</c:v>
                </c:pt>
                <c:pt idx="14">
                  <c:v>58.909050000000001</c:v>
                </c:pt>
                <c:pt idx="15">
                  <c:v>60.87276</c:v>
                </c:pt>
                <c:pt idx="16">
                  <c:v>62.836380000000005</c:v>
                </c:pt>
                <c:pt idx="17">
                  <c:v>65.454570000000004</c:v>
                </c:pt>
                <c:pt idx="18">
                  <c:v>67.418189999999996</c:v>
                </c:pt>
                <c:pt idx="19">
                  <c:v>69.381810000000002</c:v>
                </c:pt>
                <c:pt idx="20">
                  <c:v>70.690950000000001</c:v>
                </c:pt>
                <c:pt idx="21">
                  <c:v>72.654570000000007</c:v>
                </c:pt>
                <c:pt idx="22">
                  <c:v>74.618189999999998</c:v>
                </c:pt>
                <c:pt idx="23">
                  <c:v>76.581810000000004</c:v>
                </c:pt>
                <c:pt idx="24">
                  <c:v>78.545429999999996</c:v>
                </c:pt>
                <c:pt idx="25">
                  <c:v>80.509050000000002</c:v>
                </c:pt>
                <c:pt idx="26">
                  <c:v>82.472759999999994</c:v>
                </c:pt>
                <c:pt idx="27">
                  <c:v>85.090950000000007</c:v>
                </c:pt>
                <c:pt idx="28">
                  <c:v>87.054569999999998</c:v>
                </c:pt>
                <c:pt idx="29">
                  <c:v>89.672759999999997</c:v>
                </c:pt>
                <c:pt idx="30">
                  <c:v>91.636200000000002</c:v>
                </c:pt>
                <c:pt idx="31">
                  <c:v>94.254300000000001</c:v>
                </c:pt>
                <c:pt idx="32">
                  <c:v>96.872399999999999</c:v>
                </c:pt>
                <c:pt idx="33">
                  <c:v>98.836200000000005</c:v>
                </c:pt>
                <c:pt idx="34">
                  <c:v>102.1095</c:v>
                </c:pt>
                <c:pt idx="35">
                  <c:v>105.3819</c:v>
                </c:pt>
                <c:pt idx="36">
                  <c:v>108.65430000000001</c:v>
                </c:pt>
                <c:pt idx="37">
                  <c:v>111.2724</c:v>
                </c:pt>
                <c:pt idx="38">
                  <c:v>113.8905</c:v>
                </c:pt>
                <c:pt idx="39">
                  <c:v>116.50950000000002</c:v>
                </c:pt>
                <c:pt idx="40">
                  <c:v>118.47239999999999</c:v>
                </c:pt>
                <c:pt idx="41">
                  <c:v>120.43620000000001</c:v>
                </c:pt>
                <c:pt idx="42">
                  <c:v>121.7457</c:v>
                </c:pt>
                <c:pt idx="43">
                  <c:v>123.05430000000001</c:v>
                </c:pt>
                <c:pt idx="44">
                  <c:v>124.3638</c:v>
                </c:pt>
                <c:pt idx="45">
                  <c:v>126.3276</c:v>
                </c:pt>
                <c:pt idx="46">
                  <c:v>128.29049999999998</c:v>
                </c:pt>
                <c:pt idx="47">
                  <c:v>130.90950000000001</c:v>
                </c:pt>
                <c:pt idx="48">
                  <c:v>132.8724</c:v>
                </c:pt>
                <c:pt idx="49">
                  <c:v>134.83620000000002</c:v>
                </c:pt>
                <c:pt idx="50">
                  <c:v>138.10950000000003</c:v>
                </c:pt>
                <c:pt idx="51">
                  <c:v>139.41810000000001</c:v>
                </c:pt>
                <c:pt idx="52">
                  <c:v>141.3819</c:v>
                </c:pt>
                <c:pt idx="53">
                  <c:v>142.69049999999999</c:v>
                </c:pt>
                <c:pt idx="54">
                  <c:v>144</c:v>
                </c:pt>
                <c:pt idx="55">
                  <c:v>145.96379999999999</c:v>
                </c:pt>
                <c:pt idx="56">
                  <c:v>147.92760000000001</c:v>
                </c:pt>
                <c:pt idx="57">
                  <c:v>149.23620000000003</c:v>
                </c:pt>
                <c:pt idx="58">
                  <c:v>151.20000000000002</c:v>
                </c:pt>
                <c:pt idx="59">
                  <c:v>152.5095</c:v>
                </c:pt>
                <c:pt idx="60">
                  <c:v>155.1276</c:v>
                </c:pt>
                <c:pt idx="61">
                  <c:v>157.09049999999999</c:v>
                </c:pt>
                <c:pt idx="62">
                  <c:v>159.05430000000001</c:v>
                </c:pt>
                <c:pt idx="63">
                  <c:v>161.67240000000001</c:v>
                </c:pt>
                <c:pt idx="64">
                  <c:v>163.6362</c:v>
                </c:pt>
                <c:pt idx="65">
                  <c:v>165.6</c:v>
                </c:pt>
                <c:pt idx="66">
                  <c:v>167.56379999999999</c:v>
                </c:pt>
                <c:pt idx="67">
                  <c:v>168.8724</c:v>
                </c:pt>
                <c:pt idx="68">
                  <c:v>170.83620000000002</c:v>
                </c:pt>
                <c:pt idx="69">
                  <c:v>174.10950000000003</c:v>
                </c:pt>
                <c:pt idx="70">
                  <c:v>176.7276</c:v>
                </c:pt>
                <c:pt idx="71">
                  <c:v>179.34569999999999</c:v>
                </c:pt>
                <c:pt idx="72">
                  <c:v>181.96379999999999</c:v>
                </c:pt>
                <c:pt idx="73">
                  <c:v>183.92760000000001</c:v>
                </c:pt>
                <c:pt idx="74">
                  <c:v>185.8905</c:v>
                </c:pt>
                <c:pt idx="75">
                  <c:v>187.85429999999999</c:v>
                </c:pt>
                <c:pt idx="76">
                  <c:v>189.81809999999999</c:v>
                </c:pt>
                <c:pt idx="77">
                  <c:v>192.43620000000001</c:v>
                </c:pt>
                <c:pt idx="78">
                  <c:v>195.05430000000001</c:v>
                </c:pt>
                <c:pt idx="79">
                  <c:v>198.32760000000002</c:v>
                </c:pt>
                <c:pt idx="80">
                  <c:v>200.94569999999999</c:v>
                </c:pt>
                <c:pt idx="81">
                  <c:v>203.56379999999999</c:v>
                </c:pt>
                <c:pt idx="82">
                  <c:v>206.83620000000002</c:v>
                </c:pt>
                <c:pt idx="83">
                  <c:v>210.10950000000003</c:v>
                </c:pt>
                <c:pt idx="84">
                  <c:v>213.3819</c:v>
                </c:pt>
                <c:pt idx="85">
                  <c:v>216.65430000000001</c:v>
                </c:pt>
                <c:pt idx="86">
                  <c:v>219.92760000000001</c:v>
                </c:pt>
                <c:pt idx="87">
                  <c:v>222.54570000000001</c:v>
                </c:pt>
                <c:pt idx="88">
                  <c:v>224.5095</c:v>
                </c:pt>
                <c:pt idx="89">
                  <c:v>227.1276</c:v>
                </c:pt>
                <c:pt idx="90">
                  <c:v>229.7457</c:v>
                </c:pt>
                <c:pt idx="91">
                  <c:v>233.0181</c:v>
                </c:pt>
                <c:pt idx="92">
                  <c:v>236.29050000000001</c:v>
                </c:pt>
                <c:pt idx="93">
                  <c:v>239.56380000000001</c:v>
                </c:pt>
                <c:pt idx="94">
                  <c:v>242.83619999999999</c:v>
                </c:pt>
                <c:pt idx="95">
                  <c:v>246.1095</c:v>
                </c:pt>
                <c:pt idx="96">
                  <c:v>248.7276</c:v>
                </c:pt>
                <c:pt idx="97">
                  <c:v>252.65429999999998</c:v>
                </c:pt>
                <c:pt idx="98">
                  <c:v>255.92759999999998</c:v>
                </c:pt>
                <c:pt idx="99">
                  <c:v>259.85429999999997</c:v>
                </c:pt>
                <c:pt idx="100">
                  <c:v>263.78190000000001</c:v>
                </c:pt>
                <c:pt idx="101">
                  <c:v>266.40000000000003</c:v>
                </c:pt>
                <c:pt idx="102">
                  <c:v>270.32759999999996</c:v>
                </c:pt>
                <c:pt idx="103">
                  <c:v>272.94570000000004</c:v>
                </c:pt>
                <c:pt idx="104">
                  <c:v>276.87240000000003</c:v>
                </c:pt>
                <c:pt idx="105">
                  <c:v>279.4905</c:v>
                </c:pt>
                <c:pt idx="106">
                  <c:v>283.41809999999998</c:v>
                </c:pt>
                <c:pt idx="107">
                  <c:v>286.69050000000004</c:v>
                </c:pt>
                <c:pt idx="108">
                  <c:v>288.65429999999998</c:v>
                </c:pt>
                <c:pt idx="109">
                  <c:v>289.96380000000005</c:v>
                </c:pt>
                <c:pt idx="110">
                  <c:v>292.58190000000002</c:v>
                </c:pt>
                <c:pt idx="111">
                  <c:v>295.2</c:v>
                </c:pt>
                <c:pt idx="112">
                  <c:v>297.16380000000004</c:v>
                </c:pt>
                <c:pt idx="113">
                  <c:v>299.78190000000001</c:v>
                </c:pt>
                <c:pt idx="114">
                  <c:v>303.70949999999999</c:v>
                </c:pt>
                <c:pt idx="115">
                  <c:v>307.63619999999997</c:v>
                </c:pt>
                <c:pt idx="116">
                  <c:v>310.2543</c:v>
                </c:pt>
                <c:pt idx="117">
                  <c:v>314.18190000000004</c:v>
                </c:pt>
                <c:pt idx="118">
                  <c:v>316.8</c:v>
                </c:pt>
                <c:pt idx="119">
                  <c:v>320.7276</c:v>
                </c:pt>
                <c:pt idx="120">
                  <c:v>322.69050000000004</c:v>
                </c:pt>
                <c:pt idx="121">
                  <c:v>327.2724</c:v>
                </c:pt>
                <c:pt idx="122">
                  <c:v>331.2</c:v>
                </c:pt>
                <c:pt idx="123">
                  <c:v>334.47240000000005</c:v>
                </c:pt>
                <c:pt idx="124">
                  <c:v>337.74570000000006</c:v>
                </c:pt>
                <c:pt idx="125">
                  <c:v>341.0181</c:v>
                </c:pt>
                <c:pt idx="126">
                  <c:v>344.94570000000004</c:v>
                </c:pt>
                <c:pt idx="127">
                  <c:v>347.56380000000001</c:v>
                </c:pt>
                <c:pt idx="128">
                  <c:v>351.4905</c:v>
                </c:pt>
                <c:pt idx="129">
                  <c:v>354.10949999999997</c:v>
                </c:pt>
                <c:pt idx="130">
                  <c:v>357.38190000000003</c:v>
                </c:pt>
                <c:pt idx="131">
                  <c:v>360</c:v>
                </c:pt>
                <c:pt idx="132">
                  <c:v>362.61810000000003</c:v>
                </c:pt>
                <c:pt idx="133">
                  <c:v>365.2362</c:v>
                </c:pt>
                <c:pt idx="134">
                  <c:v>368.5095</c:v>
                </c:pt>
                <c:pt idx="135">
                  <c:v>371.12759999999997</c:v>
                </c:pt>
                <c:pt idx="136">
                  <c:v>373.74570000000006</c:v>
                </c:pt>
                <c:pt idx="137">
                  <c:v>377.0181</c:v>
                </c:pt>
                <c:pt idx="138">
                  <c:v>379.63619999999997</c:v>
                </c:pt>
                <c:pt idx="139">
                  <c:v>381.6</c:v>
                </c:pt>
                <c:pt idx="140">
                  <c:v>383.56380000000001</c:v>
                </c:pt>
                <c:pt idx="141">
                  <c:v>386.18190000000004</c:v>
                </c:pt>
                <c:pt idx="142">
                  <c:v>388.14570000000003</c:v>
                </c:pt>
                <c:pt idx="143">
                  <c:v>390.10949999999997</c:v>
                </c:pt>
                <c:pt idx="144">
                  <c:v>392.7276</c:v>
                </c:pt>
                <c:pt idx="145">
                  <c:v>394.69050000000004</c:v>
                </c:pt>
                <c:pt idx="146">
                  <c:v>396.65429999999998</c:v>
                </c:pt>
                <c:pt idx="147">
                  <c:v>399.2724</c:v>
                </c:pt>
                <c:pt idx="148">
                  <c:v>401.2362</c:v>
                </c:pt>
                <c:pt idx="149">
                  <c:v>403.2</c:v>
                </c:pt>
                <c:pt idx="150">
                  <c:v>405.81810000000002</c:v>
                </c:pt>
                <c:pt idx="151">
                  <c:v>408.43619999999999</c:v>
                </c:pt>
                <c:pt idx="152">
                  <c:v>410.40000000000003</c:v>
                </c:pt>
                <c:pt idx="153">
                  <c:v>413.0181</c:v>
                </c:pt>
                <c:pt idx="154">
                  <c:v>416.29050000000001</c:v>
                </c:pt>
                <c:pt idx="155">
                  <c:v>418.90949999999998</c:v>
                </c:pt>
                <c:pt idx="156">
                  <c:v>421.52760000000001</c:v>
                </c:pt>
                <c:pt idx="157">
                  <c:v>424.14570000000003</c:v>
                </c:pt>
                <c:pt idx="158">
                  <c:v>426.10949999999997</c:v>
                </c:pt>
                <c:pt idx="159">
                  <c:v>428.07240000000002</c:v>
                </c:pt>
                <c:pt idx="160">
                  <c:v>430.69050000000004</c:v>
                </c:pt>
                <c:pt idx="161">
                  <c:v>432.65429999999998</c:v>
                </c:pt>
                <c:pt idx="162">
                  <c:v>434.61810000000003</c:v>
                </c:pt>
                <c:pt idx="163">
                  <c:v>435.92759999999998</c:v>
                </c:pt>
                <c:pt idx="164">
                  <c:v>437.2362</c:v>
                </c:pt>
                <c:pt idx="165">
                  <c:v>438.54570000000001</c:v>
                </c:pt>
                <c:pt idx="166">
                  <c:v>440.5095</c:v>
                </c:pt>
                <c:pt idx="167">
                  <c:v>441.16380000000004</c:v>
                </c:pt>
                <c:pt idx="168">
                  <c:v>443.12759999999997</c:v>
                </c:pt>
                <c:pt idx="169">
                  <c:v>445.09050000000002</c:v>
                </c:pt>
                <c:pt idx="170">
                  <c:v>447.05430000000001</c:v>
                </c:pt>
                <c:pt idx="171">
                  <c:v>449.0181</c:v>
                </c:pt>
                <c:pt idx="172">
                  <c:v>449.67240000000004</c:v>
                </c:pt>
                <c:pt idx="173" formatCode="0.0000">
                  <c:v>450.32759999999996</c:v>
                </c:pt>
                <c:pt idx="174">
                  <c:v>449.67240000000004</c:v>
                </c:pt>
                <c:pt idx="175">
                  <c:v>449.0181</c:v>
                </c:pt>
                <c:pt idx="176">
                  <c:v>449.0181</c:v>
                </c:pt>
                <c:pt idx="177">
                  <c:v>447.70949999999999</c:v>
                </c:pt>
                <c:pt idx="178">
                  <c:v>447.05430000000001</c:v>
                </c:pt>
                <c:pt idx="179">
                  <c:v>447.05430000000001</c:v>
                </c:pt>
                <c:pt idx="180">
                  <c:v>445.74570000000006</c:v>
                </c:pt>
                <c:pt idx="181">
                  <c:v>445.09050000000002</c:v>
                </c:pt>
                <c:pt idx="182">
                  <c:v>445.09050000000002</c:v>
                </c:pt>
                <c:pt idx="183">
                  <c:v>443.78190000000001</c:v>
                </c:pt>
                <c:pt idx="184">
                  <c:v>443.12759999999997</c:v>
                </c:pt>
                <c:pt idx="185">
                  <c:v>442.47240000000005</c:v>
                </c:pt>
                <c:pt idx="186">
                  <c:v>441.16380000000004</c:v>
                </c:pt>
                <c:pt idx="187">
                  <c:v>440.5095</c:v>
                </c:pt>
                <c:pt idx="188">
                  <c:v>439.2</c:v>
                </c:pt>
                <c:pt idx="189">
                  <c:v>438.54570000000001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9F-4E27-8B45-029422959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1471983"/>
        <c:axId val="1716265055"/>
      </c:scatterChart>
      <c:valAx>
        <c:axId val="157147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kern="1200" baseline="0">
                    <a:solidFill>
                      <a:srgbClr val="595959"/>
                    </a:solidFill>
                    <a:effectLst/>
                    <a:latin typeface="Calibri" panose="020F0502020204030204" pitchFamily="34" charset="0"/>
                  </a:rPr>
                  <a:t>Vehicle Speed [km/h]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265055"/>
        <c:crosses val="autoZero"/>
        <c:crossBetween val="midCat"/>
      </c:valAx>
      <c:valAx>
        <c:axId val="171626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 [HP]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1471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'Resisting Power'!$B$4:$B$704</c:f>
              <c:numCache>
                <c:formatCode>0.00</c:formatCode>
                <c:ptCount val="701"/>
                <c:pt idx="0">
                  <c:v>48.800348141013629</c:v>
                </c:pt>
                <c:pt idx="1">
                  <c:v>49.342791035184042</c:v>
                </c:pt>
                <c:pt idx="2">
                  <c:v>50.427676823524834</c:v>
                </c:pt>
                <c:pt idx="3">
                  <c:v>51.241341164780451</c:v>
                </c:pt>
                <c:pt idx="4">
                  <c:v>52.326226953121257</c:v>
                </c:pt>
                <c:pt idx="5">
                  <c:v>53.139891294376852</c:v>
                </c:pt>
                <c:pt idx="6">
                  <c:v>53.953555635632455</c:v>
                </c:pt>
                <c:pt idx="7">
                  <c:v>55.038441423973268</c:v>
                </c:pt>
                <c:pt idx="8">
                  <c:v>56.123327212314081</c:v>
                </c:pt>
                <c:pt idx="9">
                  <c:v>56.936991553569683</c:v>
                </c:pt>
                <c:pt idx="10">
                  <c:v>57.750655894825293</c:v>
                </c:pt>
                <c:pt idx="11">
                  <c:v>58.835541683166099</c:v>
                </c:pt>
                <c:pt idx="12">
                  <c:v>59.649206024421694</c:v>
                </c:pt>
                <c:pt idx="13">
                  <c:v>60.462870365677304</c:v>
                </c:pt>
                <c:pt idx="14">
                  <c:v>61.54775615401811</c:v>
                </c:pt>
                <c:pt idx="15">
                  <c:v>62.361420495273734</c:v>
                </c:pt>
                <c:pt idx="16">
                  <c:v>63.717527730699729</c:v>
                </c:pt>
                <c:pt idx="17">
                  <c:v>65.073634966125738</c:v>
                </c:pt>
                <c:pt idx="18">
                  <c:v>66.429742201551747</c:v>
                </c:pt>
                <c:pt idx="19">
                  <c:v>67.514140181534486</c:v>
                </c:pt>
                <c:pt idx="20">
                  <c:v>68.599025969875285</c:v>
                </c:pt>
                <c:pt idx="21">
                  <c:v>69.412690311130902</c:v>
                </c:pt>
                <c:pt idx="22">
                  <c:v>70.497576099471701</c:v>
                </c:pt>
                <c:pt idx="23">
                  <c:v>71.311240440727303</c:v>
                </c:pt>
                <c:pt idx="24">
                  <c:v>72.396126229068116</c:v>
                </c:pt>
                <c:pt idx="25">
                  <c:v>73.209790570323719</c:v>
                </c:pt>
                <c:pt idx="26">
                  <c:v>73.752233464494125</c:v>
                </c:pt>
                <c:pt idx="27">
                  <c:v>74.837119252834938</c:v>
                </c:pt>
                <c:pt idx="28">
                  <c:v>75.650783594090527</c:v>
                </c:pt>
                <c:pt idx="29">
                  <c:v>76.464447935346129</c:v>
                </c:pt>
                <c:pt idx="30">
                  <c:v>77.278112276601746</c:v>
                </c:pt>
                <c:pt idx="31">
                  <c:v>78.362998064942559</c:v>
                </c:pt>
                <c:pt idx="32">
                  <c:v>79.176662406198147</c:v>
                </c:pt>
                <c:pt idx="33">
                  <c:v>79.990326747453764</c:v>
                </c:pt>
                <c:pt idx="34">
                  <c:v>81.346433982879759</c:v>
                </c:pt>
                <c:pt idx="35">
                  <c:v>82.702541218305782</c:v>
                </c:pt>
                <c:pt idx="36">
                  <c:v>83.787427006646595</c:v>
                </c:pt>
                <c:pt idx="37">
                  <c:v>84.87231279498738</c:v>
                </c:pt>
                <c:pt idx="38">
                  <c:v>85.957198583328207</c:v>
                </c:pt>
                <c:pt idx="39">
                  <c:v>86.77086292458381</c:v>
                </c:pt>
                <c:pt idx="40">
                  <c:v>87.584527265839412</c:v>
                </c:pt>
                <c:pt idx="41">
                  <c:v>88.12697016000979</c:v>
                </c:pt>
                <c:pt idx="42">
                  <c:v>88.669413054180225</c:v>
                </c:pt>
                <c:pt idx="43">
                  <c:v>89.211855948350617</c:v>
                </c:pt>
                <c:pt idx="44">
                  <c:v>90.025520289606234</c:v>
                </c:pt>
                <c:pt idx="45">
                  <c:v>90.296741736691416</c:v>
                </c:pt>
                <c:pt idx="46">
                  <c:v>91.110406077947033</c:v>
                </c:pt>
                <c:pt idx="47">
                  <c:v>92.195291866287832</c:v>
                </c:pt>
                <c:pt idx="48">
                  <c:v>93.008956207543449</c:v>
                </c:pt>
                <c:pt idx="49">
                  <c:v>93.822620548799051</c:v>
                </c:pt>
                <c:pt idx="50">
                  <c:v>94.90750633713985</c:v>
                </c:pt>
                <c:pt idx="51">
                  <c:v>95.449949231310256</c:v>
                </c:pt>
                <c:pt idx="52">
                  <c:v>96.263613572565873</c:v>
                </c:pt>
                <c:pt idx="53">
                  <c:v>96.806056466736266</c:v>
                </c:pt>
                <c:pt idx="54">
                  <c:v>97.619720807991882</c:v>
                </c:pt>
                <c:pt idx="55">
                  <c:v>98.433385149247471</c:v>
                </c:pt>
                <c:pt idx="56">
                  <c:v>99.247049490503073</c:v>
                </c:pt>
                <c:pt idx="57">
                  <c:v>100.06071383175869</c:v>
                </c:pt>
                <c:pt idx="58">
                  <c:v>100.87437817301428</c:v>
                </c:pt>
                <c:pt idx="59">
                  <c:v>101.68804251426991</c:v>
                </c:pt>
                <c:pt idx="60">
                  <c:v>102.77292830261069</c:v>
                </c:pt>
                <c:pt idx="61">
                  <c:v>103.58659264386633</c:v>
                </c:pt>
                <c:pt idx="62">
                  <c:v>104.67147843220712</c:v>
                </c:pt>
                <c:pt idx="63">
                  <c:v>105.75636422054791</c:v>
                </c:pt>
                <c:pt idx="64">
                  <c:v>107.11247145597393</c:v>
                </c:pt>
                <c:pt idx="65">
                  <c:v>107.65491435014432</c:v>
                </c:pt>
                <c:pt idx="66">
                  <c:v>108.46857869139996</c:v>
                </c:pt>
                <c:pt idx="67">
                  <c:v>109.28224303265554</c:v>
                </c:pt>
                <c:pt idx="68">
                  <c:v>110.36712882099637</c:v>
                </c:pt>
                <c:pt idx="69">
                  <c:v>111.72323605642235</c:v>
                </c:pt>
                <c:pt idx="70">
                  <c:v>112.80812184476318</c:v>
                </c:pt>
                <c:pt idx="71">
                  <c:v>114.43545052727436</c:v>
                </c:pt>
                <c:pt idx="72">
                  <c:v>115.52033631561518</c:v>
                </c:pt>
                <c:pt idx="73">
                  <c:v>116.60522210395598</c:v>
                </c:pt>
                <c:pt idx="74">
                  <c:v>117.41888644521161</c:v>
                </c:pt>
                <c:pt idx="75">
                  <c:v>118.2325507864672</c:v>
                </c:pt>
                <c:pt idx="76">
                  <c:v>119.31743657480801</c:v>
                </c:pt>
                <c:pt idx="77">
                  <c:v>120.9447652573192</c:v>
                </c:pt>
                <c:pt idx="78">
                  <c:v>122.84331538691563</c:v>
                </c:pt>
                <c:pt idx="79">
                  <c:v>124.47064406942685</c:v>
                </c:pt>
                <c:pt idx="80">
                  <c:v>126.36919419902326</c:v>
                </c:pt>
                <c:pt idx="81">
                  <c:v>127.99652288153445</c:v>
                </c:pt>
                <c:pt idx="82">
                  <c:v>129.89507301113088</c:v>
                </c:pt>
                <c:pt idx="83">
                  <c:v>131.79362314072728</c:v>
                </c:pt>
                <c:pt idx="84">
                  <c:v>134.23461616449413</c:v>
                </c:pt>
                <c:pt idx="85">
                  <c:v>136.4043877411757</c:v>
                </c:pt>
                <c:pt idx="86">
                  <c:v>138.30293787077213</c:v>
                </c:pt>
                <c:pt idx="87">
                  <c:v>139.93026655328333</c:v>
                </c:pt>
                <c:pt idx="88">
                  <c:v>141.01515234162414</c:v>
                </c:pt>
                <c:pt idx="89">
                  <c:v>142.64248102413538</c:v>
                </c:pt>
                <c:pt idx="90">
                  <c:v>144.54103115373178</c:v>
                </c:pt>
                <c:pt idx="91">
                  <c:v>146.9820241774986</c:v>
                </c:pt>
                <c:pt idx="92">
                  <c:v>148.33813141292458</c:v>
                </c:pt>
                <c:pt idx="93">
                  <c:v>150.50790298960621</c:v>
                </c:pt>
                <c:pt idx="94">
                  <c:v>152.67718675792975</c:v>
                </c:pt>
                <c:pt idx="95">
                  <c:v>154.57573688752615</c:v>
                </c:pt>
                <c:pt idx="96">
                  <c:v>156.47428701712255</c:v>
                </c:pt>
                <c:pt idx="97">
                  <c:v>158.6440585938042</c:v>
                </c:pt>
                <c:pt idx="98">
                  <c:v>160.8138301704858</c:v>
                </c:pt>
                <c:pt idx="99">
                  <c:v>163.25482319425262</c:v>
                </c:pt>
                <c:pt idx="100">
                  <c:v>165.42459477093422</c:v>
                </c:pt>
                <c:pt idx="101">
                  <c:v>167.32314490053062</c:v>
                </c:pt>
                <c:pt idx="102">
                  <c:v>169.76413792429747</c:v>
                </c:pt>
                <c:pt idx="103">
                  <c:v>171.39146660680868</c:v>
                </c:pt>
                <c:pt idx="104">
                  <c:v>173.5612381834903</c:v>
                </c:pt>
                <c:pt idx="105">
                  <c:v>175.4597883130867</c:v>
                </c:pt>
                <c:pt idx="106">
                  <c:v>177.6295598897683</c:v>
                </c:pt>
                <c:pt idx="107">
                  <c:v>179.52811001936473</c:v>
                </c:pt>
                <c:pt idx="108">
                  <c:v>180.88421725479071</c:v>
                </c:pt>
                <c:pt idx="109">
                  <c:v>181.69788159604636</c:v>
                </c:pt>
                <c:pt idx="110">
                  <c:v>183.05398883147234</c:v>
                </c:pt>
                <c:pt idx="111">
                  <c:v>184.95253896106877</c:v>
                </c:pt>
                <c:pt idx="112">
                  <c:v>186.03742474940952</c:v>
                </c:pt>
                <c:pt idx="113">
                  <c:v>187.66475343192076</c:v>
                </c:pt>
                <c:pt idx="114">
                  <c:v>189.83452500860236</c:v>
                </c:pt>
                <c:pt idx="115">
                  <c:v>192.27551803236921</c:v>
                </c:pt>
                <c:pt idx="116">
                  <c:v>194.17406816196561</c:v>
                </c:pt>
                <c:pt idx="117">
                  <c:v>196.61506118573243</c:v>
                </c:pt>
                <c:pt idx="118">
                  <c:v>198.51361131532886</c:v>
                </c:pt>
                <c:pt idx="119">
                  <c:v>200.41216144492526</c:v>
                </c:pt>
                <c:pt idx="120">
                  <c:v>202.31071157452169</c:v>
                </c:pt>
                <c:pt idx="121">
                  <c:v>204.75170459828848</c:v>
                </c:pt>
                <c:pt idx="122">
                  <c:v>207.4639190691405</c:v>
                </c:pt>
                <c:pt idx="123">
                  <c:v>209.3624691987369</c:v>
                </c:pt>
                <c:pt idx="124">
                  <c:v>211.26101932833333</c:v>
                </c:pt>
                <c:pt idx="125">
                  <c:v>213.43079090501496</c:v>
                </c:pt>
                <c:pt idx="126">
                  <c:v>215.87178392878175</c:v>
                </c:pt>
                <c:pt idx="127">
                  <c:v>217.49911261129293</c:v>
                </c:pt>
                <c:pt idx="128">
                  <c:v>219.66888418797458</c:v>
                </c:pt>
                <c:pt idx="129">
                  <c:v>221.56743431757101</c:v>
                </c:pt>
                <c:pt idx="130">
                  <c:v>223.19476300008219</c:v>
                </c:pt>
                <c:pt idx="131">
                  <c:v>224.8220916825934</c:v>
                </c:pt>
                <c:pt idx="132">
                  <c:v>226.44942036510463</c:v>
                </c:pt>
                <c:pt idx="133">
                  <c:v>228.34797049470106</c:v>
                </c:pt>
                <c:pt idx="134">
                  <c:v>229.70407773012701</c:v>
                </c:pt>
                <c:pt idx="135">
                  <c:v>231.87384930680867</c:v>
                </c:pt>
                <c:pt idx="136">
                  <c:v>233.2299565422347</c:v>
                </c:pt>
                <c:pt idx="137">
                  <c:v>235.1285066718311</c:v>
                </c:pt>
                <c:pt idx="138">
                  <c:v>237.2982782485127</c:v>
                </c:pt>
                <c:pt idx="139">
                  <c:v>238.65389767558062</c:v>
                </c:pt>
                <c:pt idx="140">
                  <c:v>240.55244780517702</c:v>
                </c:pt>
                <c:pt idx="141">
                  <c:v>242.72221938185871</c:v>
                </c:pt>
                <c:pt idx="142">
                  <c:v>244.62076951145505</c:v>
                </c:pt>
                <c:pt idx="143">
                  <c:v>246.51931964105151</c:v>
                </c:pt>
                <c:pt idx="144">
                  <c:v>248.41786977064785</c:v>
                </c:pt>
                <c:pt idx="145">
                  <c:v>250.31641990024431</c:v>
                </c:pt>
                <c:pt idx="146">
                  <c:v>251.94374858275549</c:v>
                </c:pt>
                <c:pt idx="147">
                  <c:v>254.11352015943714</c:v>
                </c:pt>
                <c:pt idx="148">
                  <c:v>256.28329173611877</c:v>
                </c:pt>
                <c:pt idx="149">
                  <c:v>258.18184186571511</c:v>
                </c:pt>
                <c:pt idx="150">
                  <c:v>260.08039199531157</c:v>
                </c:pt>
                <c:pt idx="151">
                  <c:v>262.2501635719932</c:v>
                </c:pt>
                <c:pt idx="152">
                  <c:v>264.41993514867477</c:v>
                </c:pt>
                <c:pt idx="153">
                  <c:v>266.58970672535639</c:v>
                </c:pt>
                <c:pt idx="154">
                  <c:v>269.03069974912319</c:v>
                </c:pt>
                <c:pt idx="155">
                  <c:v>271.20047132580481</c:v>
                </c:pt>
                <c:pt idx="156">
                  <c:v>273.09902145540121</c:v>
                </c:pt>
                <c:pt idx="157">
                  <c:v>275.54001447916806</c:v>
                </c:pt>
                <c:pt idx="158">
                  <c:v>277.1673431616793</c:v>
                </c:pt>
                <c:pt idx="159">
                  <c:v>279.0658932912757</c:v>
                </c:pt>
                <c:pt idx="160">
                  <c:v>280.9644434208721</c:v>
                </c:pt>
                <c:pt idx="161">
                  <c:v>282.59177210338328</c:v>
                </c:pt>
                <c:pt idx="162">
                  <c:v>284.49032223297974</c:v>
                </c:pt>
                <c:pt idx="163">
                  <c:v>286.38887236257614</c:v>
                </c:pt>
                <c:pt idx="164">
                  <c:v>288.2874224921726</c:v>
                </c:pt>
                <c:pt idx="165">
                  <c:v>290.18597262176894</c:v>
                </c:pt>
                <c:pt idx="166">
                  <c:v>292.62696564553573</c:v>
                </c:pt>
                <c:pt idx="167">
                  <c:v>294.25429432804697</c:v>
                </c:pt>
                <c:pt idx="168">
                  <c:v>296.42406590472859</c:v>
                </c:pt>
                <c:pt idx="169">
                  <c:v>299.13628037558061</c:v>
                </c:pt>
                <c:pt idx="170">
                  <c:v>302.39093774060308</c:v>
                </c:pt>
                <c:pt idx="171">
                  <c:v>304.56070931728465</c:v>
                </c:pt>
                <c:pt idx="172">
                  <c:v>306.18803799979588</c:v>
                </c:pt>
                <c:pt idx="173">
                  <c:v>307.00170234105144</c:v>
                </c:pt>
                <c:pt idx="174">
                  <c:v>308.08658812939223</c:v>
                </c:pt>
                <c:pt idx="175">
                  <c:v>309.17147391773312</c:v>
                </c:pt>
                <c:pt idx="176">
                  <c:v>309.98513825898868</c:v>
                </c:pt>
                <c:pt idx="177">
                  <c:v>311.61246694149992</c:v>
                </c:pt>
                <c:pt idx="178">
                  <c:v>313.23979562401109</c:v>
                </c:pt>
                <c:pt idx="179">
                  <c:v>314.59590285943716</c:v>
                </c:pt>
                <c:pt idx="180">
                  <c:v>315.95201009486311</c:v>
                </c:pt>
                <c:pt idx="181">
                  <c:v>317.85056022445951</c:v>
                </c:pt>
                <c:pt idx="182">
                  <c:v>319.20666745988552</c:v>
                </c:pt>
                <c:pt idx="183">
                  <c:v>320.83399614239676</c:v>
                </c:pt>
                <c:pt idx="184">
                  <c:v>322.46132482490799</c:v>
                </c:pt>
                <c:pt idx="185">
                  <c:v>324.08816569906111</c:v>
                </c:pt>
                <c:pt idx="186">
                  <c:v>325.98671582865757</c:v>
                </c:pt>
                <c:pt idx="187">
                  <c:v>327.34282306408346</c:v>
                </c:pt>
                <c:pt idx="188">
                  <c:v>329.51259464076514</c:v>
                </c:pt>
                <c:pt idx="189">
                  <c:v>330.86870187619115</c:v>
                </c:pt>
              </c:numCache>
            </c:numRef>
          </c:xVal>
          <c:yVal>
            <c:numRef>
              <c:f>'Resisting Power'!$C$4:$C$704</c:f>
              <c:numCache>
                <c:formatCode>0.00</c:formatCode>
                <c:ptCount val="701"/>
                <c:pt idx="0">
                  <c:v>2.7070021872109953</c:v>
                </c:pt>
                <c:pt idx="1">
                  <c:v>2.7774493899348456</c:v>
                </c:pt>
                <c:pt idx="2">
                  <c:v>2.9223735446977512</c:v>
                </c:pt>
                <c:pt idx="3">
                  <c:v>3.034650623499545</c:v>
                </c:pt>
                <c:pt idx="4">
                  <c:v>3.1892264200402014</c:v>
                </c:pt>
                <c:pt idx="5">
                  <c:v>3.3088774050258425</c:v>
                </c:pt>
                <c:pt idx="6">
                  <c:v>3.4317713956314222</c:v>
                </c:pt>
                <c:pt idx="7">
                  <c:v>3.600760550482923</c:v>
                </c:pt>
                <c:pt idx="8">
                  <c:v>3.7757210293833889</c:v>
                </c:pt>
                <c:pt idx="9">
                  <c:v>3.9109308758399628</c:v>
                </c:pt>
                <c:pt idx="10">
                  <c:v>4.0496154562316873</c:v>
                </c:pt>
                <c:pt idx="11">
                  <c:v>4.2400191970661441</c:v>
                </c:pt>
                <c:pt idx="12">
                  <c:v>4.3870045969025533</c:v>
                </c:pt>
                <c:pt idx="13">
                  <c:v>4.5376302508992623</c:v>
                </c:pt>
                <c:pt idx="14">
                  <c:v>4.744212899112819</c:v>
                </c:pt>
                <c:pt idx="15">
                  <c:v>4.9035255864128979</c:v>
                </c:pt>
                <c:pt idx="16">
                  <c:v>5.1775285298399636</c:v>
                </c:pt>
                <c:pt idx="17">
                  <c:v>5.4623329579837581</c:v>
                </c:pt>
                <c:pt idx="18">
                  <c:v>5.758168760045872</c:v>
                </c:pt>
                <c:pt idx="19">
                  <c:v>6.002822782706521</c:v>
                </c:pt>
                <c:pt idx="20">
                  <c:v>6.2549100907632837</c:v>
                </c:pt>
                <c:pt idx="21">
                  <c:v>6.4488533162305917</c:v>
                </c:pt>
                <c:pt idx="22">
                  <c:v>6.7140423505854283</c:v>
                </c:pt>
                <c:pt idx="23">
                  <c:v>6.9179470456268257</c:v>
                </c:pt>
                <c:pt idx="24">
                  <c:v>7.1965982725478428</c:v>
                </c:pt>
                <c:pt idx="25">
                  <c:v>7.4107347868644116</c:v>
                </c:pt>
                <c:pt idx="26">
                  <c:v>7.5559715231728939</c:v>
                </c:pt>
                <c:pt idx="27">
                  <c:v>7.8524609481137544</c:v>
                </c:pt>
                <c:pt idx="28">
                  <c:v>8.0801499071816156</c:v>
                </c:pt>
                <c:pt idx="29">
                  <c:v>8.3124556599683288</c:v>
                </c:pt>
                <c:pt idx="30">
                  <c:v>8.5494278625414477</c:v>
                </c:pt>
                <c:pt idx="31">
                  <c:v>8.8727355464974806</c:v>
                </c:pt>
                <c:pt idx="32">
                  <c:v>9.1207892388348633</c:v>
                </c:pt>
                <c:pt idx="33">
                  <c:v>9.373674901183799</c:v>
                </c:pt>
                <c:pt idx="34">
                  <c:v>9.8060235845670558</c:v>
                </c:pt>
                <c:pt idx="35">
                  <c:v>10.252162229593846</c:v>
                </c:pt>
                <c:pt idx="36">
                  <c:v>10.619156403542076</c:v>
                </c:pt>
                <c:pt idx="37">
                  <c:v>10.995240985302395</c:v>
                </c:pt>
                <c:pt idx="38">
                  <c:v>11.38053367814604</c:v>
                </c:pt>
                <c:pt idx="39">
                  <c:v>11.675616826551273</c:v>
                </c:pt>
                <c:pt idx="40">
                  <c:v>11.975995401598473</c:v>
                </c:pt>
                <c:pt idx="41">
                  <c:v>12.179214210168084</c:v>
                </c:pt>
                <c:pt idx="42">
                  <c:v>12.384823323961962</c:v>
                </c:pt>
                <c:pt idx="43">
                  <c:v>12.592837455888956</c:v>
                </c:pt>
                <c:pt idx="44">
                  <c:v>12.909400247267332</c:v>
                </c:pt>
                <c:pt idx="45">
                  <c:v>13.016139625777997</c:v>
                </c:pt>
                <c:pt idx="46">
                  <c:v>13.340038853054235</c:v>
                </c:pt>
                <c:pt idx="47">
                  <c:v>13.780562363733953</c:v>
                </c:pt>
                <c:pt idx="48">
                  <c:v>14.11751277145374</c:v>
                </c:pt>
                <c:pt idx="49">
                  <c:v>14.46013930233334</c:v>
                </c:pt>
                <c:pt idx="50">
                  <c:v>14.925890027056649</c:v>
                </c:pt>
                <c:pt idx="51">
                  <c:v>15.162619357842132</c:v>
                </c:pt>
                <c:pt idx="52">
                  <c:v>15.522572194606427</c:v>
                </c:pt>
                <c:pt idx="53">
                  <c:v>15.765801435832154</c:v>
                </c:pt>
                <c:pt idx="54">
                  <c:v>16.135573105017279</c:v>
                </c:pt>
                <c:pt idx="55">
                  <c:v>16.511302281744964</c:v>
                </c:pt>
                <c:pt idx="56">
                  <c:v>16.893038622082766</c:v>
                </c:pt>
                <c:pt idx="57">
                  <c:v>17.280831782098218</c:v>
                </c:pt>
                <c:pt idx="58">
                  <c:v>17.674731417858865</c:v>
                </c:pt>
                <c:pt idx="59">
                  <c:v>18.074787185432264</c:v>
                </c:pt>
                <c:pt idx="60">
                  <c:v>18.617856905874085</c:v>
                </c:pt>
                <c:pt idx="61">
                  <c:v>19.032470087939899</c:v>
                </c:pt>
                <c:pt idx="62">
                  <c:v>19.595129927505646</c:v>
                </c:pt>
                <c:pt idx="63">
                  <c:v>20.169145962854415</c:v>
                </c:pt>
                <c:pt idx="64">
                  <c:v>20.902814970937509</c:v>
                </c:pt>
                <c:pt idx="65">
                  <c:v>21.201353900188131</c:v>
                </c:pt>
                <c:pt idx="66">
                  <c:v>21.654641835494463</c:v>
                </c:pt>
                <c:pt idx="67">
                  <c:v>22.114549359243931</c:v>
                </c:pt>
                <c:pt idx="68">
                  <c:v>22.738142353790082</c:v>
                </c:pt>
                <c:pt idx="69">
                  <c:v>23.534486021826762</c:v>
                </c:pt>
                <c:pt idx="70">
                  <c:v>24.185186347001125</c:v>
                </c:pt>
                <c:pt idx="71">
                  <c:v>25.184221686379544</c:v>
                </c:pt>
                <c:pt idx="72">
                  <c:v>25.865740130980324</c:v>
                </c:pt>
                <c:pt idx="73">
                  <c:v>26.559791804076294</c:v>
                </c:pt>
                <c:pt idx="74">
                  <c:v>27.088626295972347</c:v>
                </c:pt>
                <c:pt idx="75">
                  <c:v>27.624626593054536</c:v>
                </c:pt>
                <c:pt idx="76">
                  <c:v>28.350526289200054</c:v>
                </c:pt>
                <c:pt idx="77">
                  <c:v>29.463684846836468</c:v>
                </c:pt>
                <c:pt idx="78">
                  <c:v>30.799712685889578</c:v>
                </c:pt>
                <c:pt idx="79">
                  <c:v>31.977341827692289</c:v>
                </c:pt>
                <c:pt idx="80">
                  <c:v>33.389673183974679</c:v>
                </c:pt>
                <c:pt idx="81">
                  <c:v>34.633637771147008</c:v>
                </c:pt>
                <c:pt idx="82">
                  <c:v>36.124448316062626</c:v>
                </c:pt>
                <c:pt idx="83">
                  <c:v>37.658418051297119</c:v>
                </c:pt>
                <c:pt idx="84">
                  <c:v>39.695097630230485</c:v>
                </c:pt>
                <c:pt idx="85">
                  <c:v>41.567333133771648</c:v>
                </c:pt>
                <c:pt idx="86">
                  <c:v>43.254066287661487</c:v>
                </c:pt>
                <c:pt idx="87">
                  <c:v>44.736388334599717</c:v>
                </c:pt>
                <c:pt idx="88">
                  <c:v>45.743555451165669</c:v>
                </c:pt>
                <c:pt idx="89">
                  <c:v>47.283029012103356</c:v>
                </c:pt>
                <c:pt idx="90">
                  <c:v>49.123118728558438</c:v>
                </c:pt>
                <c:pt idx="91">
                  <c:v>51.559604700955283</c:v>
                </c:pt>
                <c:pt idx="92">
                  <c:v>52.94800543225265</c:v>
                </c:pt>
                <c:pt idx="93">
                  <c:v>55.221846931697293</c:v>
                </c:pt>
                <c:pt idx="94">
                  <c:v>57.560471766102395</c:v>
                </c:pt>
                <c:pt idx="95">
                  <c:v>59.66154231557249</c:v>
                </c:pt>
                <c:pt idx="96">
                  <c:v>61.813972500880659</c:v>
                </c:pt>
                <c:pt idx="97">
                  <c:v>64.337591272656908</c:v>
                </c:pt>
                <c:pt idx="98">
                  <c:v>66.930057566840929</c:v>
                </c:pt>
                <c:pt idx="99">
                  <c:v>69.930048886854166</c:v>
                </c:pt>
                <c:pt idx="100">
                  <c:v>72.671942659296477</c:v>
                </c:pt>
                <c:pt idx="101">
                  <c:v>75.129957845537163</c:v>
                </c:pt>
                <c:pt idx="102">
                  <c:v>78.372042142915561</c:v>
                </c:pt>
                <c:pt idx="103">
                  <c:v>80.585150493197119</c:v>
                </c:pt>
                <c:pt idx="104">
                  <c:v>83.601112416282987</c:v>
                </c:pt>
                <c:pt idx="105">
                  <c:v>86.301833838276949</c:v>
                </c:pt>
                <c:pt idx="106">
                  <c:v>89.459795443439106</c:v>
                </c:pt>
                <c:pt idx="107">
                  <c:v>92.286214889219863</c:v>
                </c:pt>
                <c:pt idx="108">
                  <c:v>94.341569768222286</c:v>
                </c:pt>
                <c:pt idx="109">
                  <c:v>95.589486580961278</c:v>
                </c:pt>
                <c:pt idx="110">
                  <c:v>97.694013800935238</c:v>
                </c:pt>
                <c:pt idx="111">
                  <c:v>100.69253644011636</c:v>
                </c:pt>
                <c:pt idx="112">
                  <c:v>102.43352849199758</c:v>
                </c:pt>
                <c:pt idx="113">
                  <c:v>105.08289814246726</c:v>
                </c:pt>
                <c:pt idx="114">
                  <c:v>108.68672122087612</c:v>
                </c:pt>
                <c:pt idx="115">
                  <c:v>112.83954298761974</c:v>
                </c:pt>
                <c:pt idx="116">
                  <c:v>116.14245919965704</c:v>
                </c:pt>
                <c:pt idx="117">
                  <c:v>120.4839540177486</c:v>
                </c:pt>
                <c:pt idx="118">
                  <c:v>123.93526378218701</c:v>
                </c:pt>
                <c:pt idx="119">
                  <c:v>127.45253206632164</c:v>
                </c:pt>
                <c:pt idx="120">
                  <c:v>131.03638968612171</c:v>
                </c:pt>
                <c:pt idx="121">
                  <c:v>135.74306737102603</c:v>
                </c:pt>
                <c:pt idx="122">
                  <c:v>141.10466470766005</c:v>
                </c:pt>
                <c:pt idx="123">
                  <c:v>144.94137700382512</c:v>
                </c:pt>
                <c:pt idx="124">
                  <c:v>148.84765248236758</c:v>
                </c:pt>
                <c:pt idx="125">
                  <c:v>153.3979559319697</c:v>
                </c:pt>
                <c:pt idx="126">
                  <c:v>158.62780833695538</c:v>
                </c:pt>
                <c:pt idx="127">
                  <c:v>162.18016464477938</c:v>
                </c:pt>
                <c:pt idx="128">
                  <c:v>166.99929887284904</c:v>
                </c:pt>
                <c:pt idx="129">
                  <c:v>171.29421015069772</c:v>
                </c:pt>
                <c:pt idx="130">
                  <c:v>175.03413302502656</c:v>
                </c:pt>
                <c:pt idx="131">
                  <c:v>178.82854015614402</c:v>
                </c:pt>
                <c:pt idx="132">
                  <c:v>182.67782879259059</c:v>
                </c:pt>
                <c:pt idx="133">
                  <c:v>187.2385596311417</c:v>
                </c:pt>
                <c:pt idx="134">
                  <c:v>190.54263957563165</c:v>
                </c:pt>
                <c:pt idx="135">
                  <c:v>195.91025781654065</c:v>
                </c:pt>
                <c:pt idx="136">
                  <c:v>199.3160593003411</c:v>
                </c:pt>
                <c:pt idx="137">
                  <c:v>204.15065582165036</c:v>
                </c:pt>
                <c:pt idx="138">
                  <c:v>209.77160812571859</c:v>
                </c:pt>
                <c:pt idx="139">
                  <c:v>213.33564906974155</c:v>
                </c:pt>
                <c:pt idx="140">
                  <c:v>218.39511089007632</c:v>
                </c:pt>
                <c:pt idx="141">
                  <c:v>224.27525884518664</c:v>
                </c:pt>
                <c:pt idx="142">
                  <c:v>229.50676400503528</c:v>
                </c:pt>
                <c:pt idx="143">
                  <c:v>234.81954733889467</c:v>
                </c:pt>
                <c:pt idx="144">
                  <c:v>240.21423966273343</c:v>
                </c:pt>
                <c:pt idx="145">
                  <c:v>245.6914717925213</c:v>
                </c:pt>
                <c:pt idx="146">
                  <c:v>250.45241530661352</c:v>
                </c:pt>
                <c:pt idx="147">
                  <c:v>256.89607873382016</c:v>
                </c:pt>
                <c:pt idx="148">
                  <c:v>263.45002102320643</c:v>
                </c:pt>
                <c:pt idx="149">
                  <c:v>269.27592389878021</c:v>
                </c:pt>
                <c:pt idx="150">
                  <c:v>275.1876107767161</c:v>
                </c:pt>
                <c:pt idx="151">
                  <c:v>282.04967519703433</c:v>
                </c:pt>
                <c:pt idx="152">
                  <c:v>289.02554957766898</c:v>
                </c:pt>
                <c:pt idx="153">
                  <c:v>296.11617554478954</c:v>
                </c:pt>
                <c:pt idx="154">
                  <c:v>304.23146619844994</c:v>
                </c:pt>
                <c:pt idx="155">
                  <c:v>311.56906577999496</c:v>
                </c:pt>
                <c:pt idx="156">
                  <c:v>318.08597922676472</c:v>
                </c:pt>
                <c:pt idx="157">
                  <c:v>326.59828907405426</c:v>
                </c:pt>
                <c:pt idx="158">
                  <c:v>332.35715741933149</c:v>
                </c:pt>
                <c:pt idx="159">
                  <c:v>339.16137919918964</c:v>
                </c:pt>
                <c:pt idx="160">
                  <c:v>346.05832395707051</c:v>
                </c:pt>
                <c:pt idx="161">
                  <c:v>352.04426898321969</c:v>
                </c:pt>
                <c:pt idx="162">
                  <c:v>359.11508715081629</c:v>
                </c:pt>
                <c:pt idx="163">
                  <c:v>366.28043062777601</c:v>
                </c:pt>
                <c:pt idx="164">
                  <c:v>373.54093023006828</c:v>
                </c:pt>
                <c:pt idx="165">
                  <c:v>380.8972167736618</c:v>
                </c:pt>
                <c:pt idx="166">
                  <c:v>390.49706282192972</c:v>
                </c:pt>
                <c:pt idx="167">
                  <c:v>396.98616918828463</c:v>
                </c:pt>
                <c:pt idx="168">
                  <c:v>405.75011624836293</c:v>
                </c:pt>
                <c:pt idx="169">
                  <c:v>416.886061225341</c:v>
                </c:pt>
                <c:pt idx="170">
                  <c:v>430.5171058504414</c:v>
                </c:pt>
                <c:pt idx="171">
                  <c:v>439.76831031729324</c:v>
                </c:pt>
                <c:pt idx="172">
                  <c:v>446.79339983109952</c:v>
                </c:pt>
                <c:pt idx="173">
                  <c:v>450.33394868994418</c:v>
                </c:pt>
                <c:pt idx="174">
                  <c:v>455.08383336553192</c:v>
                </c:pt>
                <c:pt idx="175">
                  <c:v>459.86714349440797</c:v>
                </c:pt>
                <c:pt idx="176">
                  <c:v>463.47663235065909</c:v>
                </c:pt>
                <c:pt idx="177">
                  <c:v>470.75241276412555</c:v>
                </c:pt>
                <c:pt idx="178">
                  <c:v>478.10426115266046</c:v>
                </c:pt>
                <c:pt idx="179">
                  <c:v>484.28919555259967</c:v>
                </c:pt>
                <c:pt idx="180">
                  <c:v>490.52746069146895</c:v>
                </c:pt>
                <c:pt idx="181">
                  <c:v>499.35106523632834</c:v>
                </c:pt>
                <c:pt idx="182">
                  <c:v>505.71826209657246</c:v>
                </c:pt>
                <c:pt idx="183">
                  <c:v>513.43034687724003</c:v>
                </c:pt>
                <c:pt idx="184">
                  <c:v>521.22075070803839</c:v>
                </c:pt>
                <c:pt idx="185">
                  <c:v>529.08750015440262</c:v>
                </c:pt>
                <c:pt idx="186">
                  <c:v>538.36813118332793</c:v>
                </c:pt>
                <c:pt idx="187">
                  <c:v>545.06343063520887</c:v>
                </c:pt>
                <c:pt idx="188">
                  <c:v>555.89142795076782</c:v>
                </c:pt>
                <c:pt idx="189">
                  <c:v>562.73148377048949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5C-447A-AABB-2E05C0484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614720"/>
        <c:axId val="654594944"/>
      </c:scatterChart>
      <c:valAx>
        <c:axId val="105961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Vehicle</a:t>
                </a:r>
                <a:r>
                  <a:rPr lang="en-GB" baseline="0"/>
                  <a:t> Speed [km/h]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94944"/>
        <c:crosses val="autoZero"/>
        <c:crossBetween val="midCat"/>
      </c:valAx>
      <c:valAx>
        <c:axId val="65459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 [HP]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9614720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008443666092946E-2"/>
          <c:y val="2.3018217180586401E-2"/>
          <c:w val="0.90759644616624502"/>
          <c:h val="0.88406496772341758"/>
        </c:manualLayout>
      </c:layout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'Power-Speed Relation VI Gear'!$E$4:$E$193</c:f>
              <c:numCache>
                <c:formatCode>0.00</c:formatCode>
                <c:ptCount val="190"/>
                <c:pt idx="0">
                  <c:v>48.800348141013629</c:v>
                </c:pt>
                <c:pt idx="1">
                  <c:v>49.342791035184042</c:v>
                </c:pt>
                <c:pt idx="2">
                  <c:v>50.427676823524834</c:v>
                </c:pt>
                <c:pt idx="3">
                  <c:v>51.241341164780451</c:v>
                </c:pt>
                <c:pt idx="4">
                  <c:v>52.326226953121257</c:v>
                </c:pt>
                <c:pt idx="5">
                  <c:v>53.139891294376852</c:v>
                </c:pt>
                <c:pt idx="6">
                  <c:v>53.953555635632455</c:v>
                </c:pt>
                <c:pt idx="7">
                  <c:v>55.038441423973268</c:v>
                </c:pt>
                <c:pt idx="8">
                  <c:v>56.123327212314081</c:v>
                </c:pt>
                <c:pt idx="9">
                  <c:v>56.936991553569683</c:v>
                </c:pt>
                <c:pt idx="10">
                  <c:v>57.750655894825293</c:v>
                </c:pt>
                <c:pt idx="11">
                  <c:v>58.835541683166099</c:v>
                </c:pt>
                <c:pt idx="12">
                  <c:v>59.649206024421694</c:v>
                </c:pt>
                <c:pt idx="13">
                  <c:v>60.462870365677304</c:v>
                </c:pt>
                <c:pt idx="14">
                  <c:v>61.54775615401811</c:v>
                </c:pt>
                <c:pt idx="15">
                  <c:v>62.361420495273734</c:v>
                </c:pt>
                <c:pt idx="16">
                  <c:v>63.717527730699729</c:v>
                </c:pt>
                <c:pt idx="17">
                  <c:v>65.073634966125738</c:v>
                </c:pt>
                <c:pt idx="18">
                  <c:v>66.429742201551747</c:v>
                </c:pt>
                <c:pt idx="19">
                  <c:v>67.514140181534486</c:v>
                </c:pt>
                <c:pt idx="20">
                  <c:v>68.599025969875285</c:v>
                </c:pt>
                <c:pt idx="21">
                  <c:v>69.412690311130902</c:v>
                </c:pt>
                <c:pt idx="22">
                  <c:v>70.497576099471701</c:v>
                </c:pt>
                <c:pt idx="23">
                  <c:v>71.311240440727303</c:v>
                </c:pt>
                <c:pt idx="24">
                  <c:v>72.396126229068116</c:v>
                </c:pt>
                <c:pt idx="25">
                  <c:v>73.209790570323719</c:v>
                </c:pt>
                <c:pt idx="26">
                  <c:v>73.752233464494125</c:v>
                </c:pt>
                <c:pt idx="27">
                  <c:v>74.837119252834938</c:v>
                </c:pt>
                <c:pt idx="28">
                  <c:v>75.650783594090527</c:v>
                </c:pt>
                <c:pt idx="29">
                  <c:v>76.464447935346129</c:v>
                </c:pt>
                <c:pt idx="30">
                  <c:v>77.278112276601746</c:v>
                </c:pt>
                <c:pt idx="31">
                  <c:v>78.362998064942559</c:v>
                </c:pt>
                <c:pt idx="32">
                  <c:v>79.176662406198147</c:v>
                </c:pt>
                <c:pt idx="33">
                  <c:v>79.990326747453764</c:v>
                </c:pt>
                <c:pt idx="34">
                  <c:v>81.346433982879759</c:v>
                </c:pt>
                <c:pt idx="35">
                  <c:v>82.702541218305782</c:v>
                </c:pt>
                <c:pt idx="36">
                  <c:v>83.787427006646595</c:v>
                </c:pt>
                <c:pt idx="37">
                  <c:v>84.87231279498738</c:v>
                </c:pt>
                <c:pt idx="38">
                  <c:v>85.957198583328207</c:v>
                </c:pt>
                <c:pt idx="39">
                  <c:v>86.77086292458381</c:v>
                </c:pt>
                <c:pt idx="40">
                  <c:v>87.584527265839412</c:v>
                </c:pt>
                <c:pt idx="41">
                  <c:v>88.12697016000979</c:v>
                </c:pt>
                <c:pt idx="42">
                  <c:v>88.669413054180225</c:v>
                </c:pt>
                <c:pt idx="43">
                  <c:v>89.211855948350617</c:v>
                </c:pt>
                <c:pt idx="44">
                  <c:v>90.025520289606234</c:v>
                </c:pt>
                <c:pt idx="45">
                  <c:v>90.296741736691416</c:v>
                </c:pt>
                <c:pt idx="46">
                  <c:v>91.110406077947033</c:v>
                </c:pt>
                <c:pt idx="47">
                  <c:v>92.195291866287832</c:v>
                </c:pt>
                <c:pt idx="48">
                  <c:v>93.008956207543449</c:v>
                </c:pt>
                <c:pt idx="49">
                  <c:v>93.822620548799051</c:v>
                </c:pt>
                <c:pt idx="50">
                  <c:v>94.90750633713985</c:v>
                </c:pt>
                <c:pt idx="51">
                  <c:v>95.449949231310256</c:v>
                </c:pt>
                <c:pt idx="52">
                  <c:v>96.263613572565873</c:v>
                </c:pt>
                <c:pt idx="53">
                  <c:v>96.806056466736266</c:v>
                </c:pt>
                <c:pt idx="54">
                  <c:v>97.619720807991882</c:v>
                </c:pt>
                <c:pt idx="55">
                  <c:v>98.433385149247471</c:v>
                </c:pt>
                <c:pt idx="56">
                  <c:v>99.247049490503073</c:v>
                </c:pt>
                <c:pt idx="57">
                  <c:v>100.06071383175869</c:v>
                </c:pt>
                <c:pt idx="58">
                  <c:v>100.87437817301428</c:v>
                </c:pt>
                <c:pt idx="59">
                  <c:v>101.68804251426991</c:v>
                </c:pt>
                <c:pt idx="60">
                  <c:v>102.77292830261069</c:v>
                </c:pt>
                <c:pt idx="61">
                  <c:v>103.58659264386633</c:v>
                </c:pt>
                <c:pt idx="62">
                  <c:v>104.67147843220712</c:v>
                </c:pt>
                <c:pt idx="63">
                  <c:v>105.75636422054791</c:v>
                </c:pt>
                <c:pt idx="64">
                  <c:v>107.11247145597393</c:v>
                </c:pt>
                <c:pt idx="65">
                  <c:v>107.65491435014432</c:v>
                </c:pt>
                <c:pt idx="66">
                  <c:v>108.46857869139996</c:v>
                </c:pt>
                <c:pt idx="67">
                  <c:v>109.28224303265554</c:v>
                </c:pt>
                <c:pt idx="68">
                  <c:v>110.36712882099637</c:v>
                </c:pt>
                <c:pt idx="69">
                  <c:v>111.72323605642235</c:v>
                </c:pt>
                <c:pt idx="70">
                  <c:v>112.80812184476318</c:v>
                </c:pt>
                <c:pt idx="71">
                  <c:v>114.43545052727436</c:v>
                </c:pt>
                <c:pt idx="72">
                  <c:v>115.52033631561518</c:v>
                </c:pt>
                <c:pt idx="73">
                  <c:v>116.60522210395598</c:v>
                </c:pt>
                <c:pt idx="74">
                  <c:v>117.41888644521161</c:v>
                </c:pt>
                <c:pt idx="75">
                  <c:v>118.2325507864672</c:v>
                </c:pt>
                <c:pt idx="76">
                  <c:v>119.31743657480801</c:v>
                </c:pt>
                <c:pt idx="77">
                  <c:v>120.9447652573192</c:v>
                </c:pt>
                <c:pt idx="78">
                  <c:v>122.84331538691563</c:v>
                </c:pt>
                <c:pt idx="79">
                  <c:v>124.47064406942685</c:v>
                </c:pt>
                <c:pt idx="80">
                  <c:v>126.36919419902326</c:v>
                </c:pt>
                <c:pt idx="81">
                  <c:v>127.99652288153445</c:v>
                </c:pt>
                <c:pt idx="82">
                  <c:v>129.89507301113088</c:v>
                </c:pt>
                <c:pt idx="83">
                  <c:v>131.79362314072728</c:v>
                </c:pt>
                <c:pt idx="84">
                  <c:v>134.23461616449413</c:v>
                </c:pt>
                <c:pt idx="85">
                  <c:v>136.4043877411757</c:v>
                </c:pt>
                <c:pt idx="86">
                  <c:v>138.30293787077213</c:v>
                </c:pt>
                <c:pt idx="87">
                  <c:v>139.93026655328333</c:v>
                </c:pt>
                <c:pt idx="88">
                  <c:v>141.01515234162414</c:v>
                </c:pt>
                <c:pt idx="89">
                  <c:v>142.64248102413538</c:v>
                </c:pt>
                <c:pt idx="90">
                  <c:v>144.54103115373178</c:v>
                </c:pt>
                <c:pt idx="91">
                  <c:v>146.9820241774986</c:v>
                </c:pt>
                <c:pt idx="92">
                  <c:v>148.33813141292458</c:v>
                </c:pt>
                <c:pt idx="93">
                  <c:v>150.50790298960621</c:v>
                </c:pt>
                <c:pt idx="94">
                  <c:v>152.67718675792975</c:v>
                </c:pt>
                <c:pt idx="95">
                  <c:v>154.57573688752615</c:v>
                </c:pt>
                <c:pt idx="96">
                  <c:v>156.47428701712255</c:v>
                </c:pt>
                <c:pt idx="97">
                  <c:v>158.6440585938042</c:v>
                </c:pt>
                <c:pt idx="98">
                  <c:v>160.8138301704858</c:v>
                </c:pt>
                <c:pt idx="99">
                  <c:v>163.25482319425262</c:v>
                </c:pt>
                <c:pt idx="100">
                  <c:v>165.42459477093422</c:v>
                </c:pt>
                <c:pt idx="101">
                  <c:v>167.32314490053062</c:v>
                </c:pt>
                <c:pt idx="102">
                  <c:v>169.76413792429747</c:v>
                </c:pt>
                <c:pt idx="103">
                  <c:v>171.39146660680868</c:v>
                </c:pt>
                <c:pt idx="104">
                  <c:v>173.5612381834903</c:v>
                </c:pt>
                <c:pt idx="105">
                  <c:v>175.4597883130867</c:v>
                </c:pt>
                <c:pt idx="106">
                  <c:v>177.6295598897683</c:v>
                </c:pt>
                <c:pt idx="107">
                  <c:v>179.52811001936473</c:v>
                </c:pt>
                <c:pt idx="108">
                  <c:v>180.88421725479071</c:v>
                </c:pt>
                <c:pt idx="109">
                  <c:v>181.69788159604636</c:v>
                </c:pt>
                <c:pt idx="110">
                  <c:v>183.05398883147234</c:v>
                </c:pt>
                <c:pt idx="111">
                  <c:v>184.95253896106877</c:v>
                </c:pt>
                <c:pt idx="112">
                  <c:v>186.03742474940952</c:v>
                </c:pt>
                <c:pt idx="113">
                  <c:v>187.66475343192076</c:v>
                </c:pt>
                <c:pt idx="114">
                  <c:v>189.83452500860236</c:v>
                </c:pt>
                <c:pt idx="115">
                  <c:v>192.27551803236921</c:v>
                </c:pt>
                <c:pt idx="116">
                  <c:v>194.17406816196561</c:v>
                </c:pt>
                <c:pt idx="117">
                  <c:v>196.61506118573243</c:v>
                </c:pt>
                <c:pt idx="118">
                  <c:v>198.51361131532886</c:v>
                </c:pt>
                <c:pt idx="119">
                  <c:v>200.41216144492526</c:v>
                </c:pt>
                <c:pt idx="120">
                  <c:v>202.31071157452169</c:v>
                </c:pt>
                <c:pt idx="121">
                  <c:v>204.75170459828848</c:v>
                </c:pt>
                <c:pt idx="122">
                  <c:v>207.4639190691405</c:v>
                </c:pt>
                <c:pt idx="123">
                  <c:v>209.3624691987369</c:v>
                </c:pt>
                <c:pt idx="124">
                  <c:v>211.26101932833333</c:v>
                </c:pt>
                <c:pt idx="125">
                  <c:v>213.43079090501496</c:v>
                </c:pt>
                <c:pt idx="126">
                  <c:v>215.87178392878175</c:v>
                </c:pt>
                <c:pt idx="127">
                  <c:v>217.49911261129293</c:v>
                </c:pt>
                <c:pt idx="128">
                  <c:v>219.66888418797458</c:v>
                </c:pt>
                <c:pt idx="129">
                  <c:v>221.56743431757101</c:v>
                </c:pt>
                <c:pt idx="130">
                  <c:v>223.19476300008219</c:v>
                </c:pt>
                <c:pt idx="131">
                  <c:v>224.8220916825934</c:v>
                </c:pt>
                <c:pt idx="132">
                  <c:v>226.44942036510463</c:v>
                </c:pt>
                <c:pt idx="133">
                  <c:v>228.34797049470106</c:v>
                </c:pt>
                <c:pt idx="134">
                  <c:v>229.70407773012701</c:v>
                </c:pt>
                <c:pt idx="135">
                  <c:v>231.87384930680867</c:v>
                </c:pt>
                <c:pt idx="136">
                  <c:v>233.2299565422347</c:v>
                </c:pt>
                <c:pt idx="137">
                  <c:v>235.1285066718311</c:v>
                </c:pt>
                <c:pt idx="138">
                  <c:v>237.2982782485127</c:v>
                </c:pt>
                <c:pt idx="139">
                  <c:v>238.65389767558062</c:v>
                </c:pt>
                <c:pt idx="140">
                  <c:v>240.55244780517702</c:v>
                </c:pt>
                <c:pt idx="141">
                  <c:v>242.72221938185871</c:v>
                </c:pt>
                <c:pt idx="142">
                  <c:v>244.62076951145505</c:v>
                </c:pt>
                <c:pt idx="143">
                  <c:v>246.51931964105151</c:v>
                </c:pt>
                <c:pt idx="144">
                  <c:v>248.41786977064785</c:v>
                </c:pt>
                <c:pt idx="145">
                  <c:v>250.31641990024431</c:v>
                </c:pt>
                <c:pt idx="146">
                  <c:v>251.94374858275549</c:v>
                </c:pt>
                <c:pt idx="147">
                  <c:v>254.11352015943714</c:v>
                </c:pt>
                <c:pt idx="148">
                  <c:v>256.28329173611877</c:v>
                </c:pt>
                <c:pt idx="149">
                  <c:v>258.18184186571511</c:v>
                </c:pt>
                <c:pt idx="150">
                  <c:v>260.08039199531157</c:v>
                </c:pt>
                <c:pt idx="151">
                  <c:v>262.2501635719932</c:v>
                </c:pt>
                <c:pt idx="152">
                  <c:v>264.41993514867477</c:v>
                </c:pt>
                <c:pt idx="153">
                  <c:v>266.58970672535639</c:v>
                </c:pt>
                <c:pt idx="154">
                  <c:v>269.03069974912319</c:v>
                </c:pt>
                <c:pt idx="155">
                  <c:v>271.20047132580481</c:v>
                </c:pt>
                <c:pt idx="156">
                  <c:v>273.09902145540121</c:v>
                </c:pt>
                <c:pt idx="157">
                  <c:v>275.54001447916806</c:v>
                </c:pt>
                <c:pt idx="158">
                  <c:v>277.1673431616793</c:v>
                </c:pt>
                <c:pt idx="159">
                  <c:v>279.0658932912757</c:v>
                </c:pt>
                <c:pt idx="160">
                  <c:v>280.9644434208721</c:v>
                </c:pt>
                <c:pt idx="161">
                  <c:v>282.59177210338328</c:v>
                </c:pt>
                <c:pt idx="162">
                  <c:v>284.49032223297974</c:v>
                </c:pt>
                <c:pt idx="163">
                  <c:v>286.38887236257614</c:v>
                </c:pt>
                <c:pt idx="164">
                  <c:v>288.2874224921726</c:v>
                </c:pt>
                <c:pt idx="165">
                  <c:v>290.18597262176894</c:v>
                </c:pt>
                <c:pt idx="166">
                  <c:v>292.62696564553573</c:v>
                </c:pt>
                <c:pt idx="167">
                  <c:v>294.25429432804697</c:v>
                </c:pt>
                <c:pt idx="168">
                  <c:v>296.42406590472859</c:v>
                </c:pt>
                <c:pt idx="169">
                  <c:v>299.13628037558061</c:v>
                </c:pt>
                <c:pt idx="170">
                  <c:v>302.39093774060308</c:v>
                </c:pt>
                <c:pt idx="171">
                  <c:v>304.56070931728465</c:v>
                </c:pt>
                <c:pt idx="172">
                  <c:v>306.18803799979588</c:v>
                </c:pt>
                <c:pt idx="173">
                  <c:v>307.00170234105144</c:v>
                </c:pt>
                <c:pt idx="174">
                  <c:v>308.08658812939223</c:v>
                </c:pt>
                <c:pt idx="175">
                  <c:v>309.17147391773312</c:v>
                </c:pt>
                <c:pt idx="176">
                  <c:v>309.98513825898868</c:v>
                </c:pt>
                <c:pt idx="177">
                  <c:v>311.61246694149992</c:v>
                </c:pt>
                <c:pt idx="178">
                  <c:v>313.23979562401109</c:v>
                </c:pt>
                <c:pt idx="179">
                  <c:v>314.59590285943716</c:v>
                </c:pt>
                <c:pt idx="180">
                  <c:v>315.95201009486311</c:v>
                </c:pt>
                <c:pt idx="181">
                  <c:v>317.85056022445951</c:v>
                </c:pt>
                <c:pt idx="182">
                  <c:v>319.20666745988552</c:v>
                </c:pt>
                <c:pt idx="183">
                  <c:v>320.83399614239676</c:v>
                </c:pt>
                <c:pt idx="184">
                  <c:v>322.46132482490799</c:v>
                </c:pt>
                <c:pt idx="185">
                  <c:v>324.08816569906111</c:v>
                </c:pt>
                <c:pt idx="186">
                  <c:v>325.98671582865757</c:v>
                </c:pt>
                <c:pt idx="187">
                  <c:v>327.34282306408346</c:v>
                </c:pt>
                <c:pt idx="188">
                  <c:v>329.51259464076514</c:v>
                </c:pt>
                <c:pt idx="189">
                  <c:v>330.86870187619115</c:v>
                </c:pt>
              </c:numCache>
            </c:numRef>
          </c:xVal>
          <c:yVal>
            <c:numRef>
              <c:f>'Power-Speed Relation VI Gear'!$D$4:$D$193</c:f>
              <c:numCache>
                <c:formatCode>General</c:formatCode>
                <c:ptCount val="190"/>
                <c:pt idx="0">
                  <c:v>36.65457</c:v>
                </c:pt>
                <c:pt idx="1">
                  <c:v>37.963620000000006</c:v>
                </c:pt>
                <c:pt idx="2">
                  <c:v>39.927239999999998</c:v>
                </c:pt>
                <c:pt idx="3">
                  <c:v>41.236379999999997</c:v>
                </c:pt>
                <c:pt idx="4">
                  <c:v>43.2</c:v>
                </c:pt>
                <c:pt idx="5">
                  <c:v>44.509050000000002</c:v>
                </c:pt>
                <c:pt idx="6">
                  <c:v>45.818190000000001</c:v>
                </c:pt>
                <c:pt idx="7">
                  <c:v>47.78181</c:v>
                </c:pt>
                <c:pt idx="8">
                  <c:v>49.745429999999999</c:v>
                </c:pt>
                <c:pt idx="9">
                  <c:v>51.054569999999998</c:v>
                </c:pt>
                <c:pt idx="10">
                  <c:v>52.363620000000004</c:v>
                </c:pt>
                <c:pt idx="11">
                  <c:v>54.327239999999996</c:v>
                </c:pt>
                <c:pt idx="12">
                  <c:v>56.290949999999995</c:v>
                </c:pt>
                <c:pt idx="13">
                  <c:v>57.6</c:v>
                </c:pt>
                <c:pt idx="14">
                  <c:v>58.909050000000001</c:v>
                </c:pt>
                <c:pt idx="15">
                  <c:v>60.87276</c:v>
                </c:pt>
                <c:pt idx="16">
                  <c:v>62.836380000000005</c:v>
                </c:pt>
                <c:pt idx="17">
                  <c:v>65.454570000000004</c:v>
                </c:pt>
                <c:pt idx="18">
                  <c:v>67.418189999999996</c:v>
                </c:pt>
                <c:pt idx="19">
                  <c:v>69.381810000000002</c:v>
                </c:pt>
                <c:pt idx="20">
                  <c:v>70.690950000000001</c:v>
                </c:pt>
                <c:pt idx="21">
                  <c:v>72.654570000000007</c:v>
                </c:pt>
                <c:pt idx="22">
                  <c:v>74.618189999999998</c:v>
                </c:pt>
                <c:pt idx="23">
                  <c:v>76.581810000000004</c:v>
                </c:pt>
                <c:pt idx="24">
                  <c:v>78.545429999999996</c:v>
                </c:pt>
                <c:pt idx="25">
                  <c:v>80.509050000000002</c:v>
                </c:pt>
                <c:pt idx="26">
                  <c:v>82.472759999999994</c:v>
                </c:pt>
                <c:pt idx="27">
                  <c:v>85.090950000000007</c:v>
                </c:pt>
                <c:pt idx="28">
                  <c:v>87.054569999999998</c:v>
                </c:pt>
                <c:pt idx="29">
                  <c:v>89.672759999999997</c:v>
                </c:pt>
                <c:pt idx="30">
                  <c:v>91.636200000000002</c:v>
                </c:pt>
                <c:pt idx="31">
                  <c:v>94.254300000000001</c:v>
                </c:pt>
                <c:pt idx="32">
                  <c:v>96.872399999999999</c:v>
                </c:pt>
                <c:pt idx="33">
                  <c:v>98.836200000000005</c:v>
                </c:pt>
                <c:pt idx="34">
                  <c:v>102.1095</c:v>
                </c:pt>
                <c:pt idx="35">
                  <c:v>105.3819</c:v>
                </c:pt>
                <c:pt idx="36">
                  <c:v>108.65430000000001</c:v>
                </c:pt>
                <c:pt idx="37">
                  <c:v>111.2724</c:v>
                </c:pt>
                <c:pt idx="38">
                  <c:v>113.8905</c:v>
                </c:pt>
                <c:pt idx="39">
                  <c:v>116.50950000000002</c:v>
                </c:pt>
                <c:pt idx="40">
                  <c:v>118.47239999999999</c:v>
                </c:pt>
                <c:pt idx="41">
                  <c:v>120.43620000000001</c:v>
                </c:pt>
                <c:pt idx="42">
                  <c:v>121.7457</c:v>
                </c:pt>
                <c:pt idx="43">
                  <c:v>123.05430000000001</c:v>
                </c:pt>
                <c:pt idx="44">
                  <c:v>124.3638</c:v>
                </c:pt>
                <c:pt idx="45">
                  <c:v>126.3276</c:v>
                </c:pt>
                <c:pt idx="46">
                  <c:v>128.29049999999998</c:v>
                </c:pt>
                <c:pt idx="47">
                  <c:v>130.90950000000001</c:v>
                </c:pt>
                <c:pt idx="48">
                  <c:v>132.8724</c:v>
                </c:pt>
                <c:pt idx="49">
                  <c:v>134.83620000000002</c:v>
                </c:pt>
                <c:pt idx="50">
                  <c:v>138.10950000000003</c:v>
                </c:pt>
                <c:pt idx="51">
                  <c:v>139.41810000000001</c:v>
                </c:pt>
                <c:pt idx="52">
                  <c:v>141.3819</c:v>
                </c:pt>
                <c:pt idx="53">
                  <c:v>142.69049999999999</c:v>
                </c:pt>
                <c:pt idx="54">
                  <c:v>144</c:v>
                </c:pt>
                <c:pt idx="55">
                  <c:v>145.96379999999999</c:v>
                </c:pt>
                <c:pt idx="56">
                  <c:v>147.92760000000001</c:v>
                </c:pt>
                <c:pt idx="57">
                  <c:v>149.23620000000003</c:v>
                </c:pt>
                <c:pt idx="58">
                  <c:v>151.20000000000002</c:v>
                </c:pt>
                <c:pt idx="59">
                  <c:v>152.5095</c:v>
                </c:pt>
                <c:pt idx="60">
                  <c:v>155.1276</c:v>
                </c:pt>
                <c:pt idx="61">
                  <c:v>157.09049999999999</c:v>
                </c:pt>
                <c:pt idx="62">
                  <c:v>159.05430000000001</c:v>
                </c:pt>
                <c:pt idx="63">
                  <c:v>161.67240000000001</c:v>
                </c:pt>
                <c:pt idx="64">
                  <c:v>163.6362</c:v>
                </c:pt>
                <c:pt idx="65">
                  <c:v>165.6</c:v>
                </c:pt>
                <c:pt idx="66">
                  <c:v>167.56379999999999</c:v>
                </c:pt>
                <c:pt idx="67">
                  <c:v>168.8724</c:v>
                </c:pt>
                <c:pt idx="68">
                  <c:v>170.83620000000002</c:v>
                </c:pt>
                <c:pt idx="69">
                  <c:v>174.10950000000003</c:v>
                </c:pt>
                <c:pt idx="70">
                  <c:v>176.7276</c:v>
                </c:pt>
                <c:pt idx="71">
                  <c:v>179.34569999999999</c:v>
                </c:pt>
                <c:pt idx="72">
                  <c:v>181.96379999999999</c:v>
                </c:pt>
                <c:pt idx="73">
                  <c:v>183.92760000000001</c:v>
                </c:pt>
                <c:pt idx="74">
                  <c:v>185.8905</c:v>
                </c:pt>
                <c:pt idx="75">
                  <c:v>187.85429999999999</c:v>
                </c:pt>
                <c:pt idx="76">
                  <c:v>189.81809999999999</c:v>
                </c:pt>
                <c:pt idx="77">
                  <c:v>192.43620000000001</c:v>
                </c:pt>
                <c:pt idx="78">
                  <c:v>195.05430000000001</c:v>
                </c:pt>
                <c:pt idx="79">
                  <c:v>198.32760000000002</c:v>
                </c:pt>
                <c:pt idx="80">
                  <c:v>200.94569999999999</c:v>
                </c:pt>
                <c:pt idx="81">
                  <c:v>203.56379999999999</c:v>
                </c:pt>
                <c:pt idx="82">
                  <c:v>206.83620000000002</c:v>
                </c:pt>
                <c:pt idx="83">
                  <c:v>210.10950000000003</c:v>
                </c:pt>
                <c:pt idx="84">
                  <c:v>213.3819</c:v>
                </c:pt>
                <c:pt idx="85">
                  <c:v>216.65430000000001</c:v>
                </c:pt>
                <c:pt idx="86">
                  <c:v>219.92760000000001</c:v>
                </c:pt>
                <c:pt idx="87">
                  <c:v>222.54570000000001</c:v>
                </c:pt>
                <c:pt idx="88">
                  <c:v>224.5095</c:v>
                </c:pt>
                <c:pt idx="89">
                  <c:v>227.1276</c:v>
                </c:pt>
                <c:pt idx="90">
                  <c:v>229.7457</c:v>
                </c:pt>
                <c:pt idx="91">
                  <c:v>233.0181</c:v>
                </c:pt>
                <c:pt idx="92">
                  <c:v>236.29050000000001</c:v>
                </c:pt>
                <c:pt idx="93">
                  <c:v>239.56380000000001</c:v>
                </c:pt>
                <c:pt idx="94">
                  <c:v>242.83619999999999</c:v>
                </c:pt>
                <c:pt idx="95">
                  <c:v>246.1095</c:v>
                </c:pt>
                <c:pt idx="96">
                  <c:v>248.7276</c:v>
                </c:pt>
                <c:pt idx="97">
                  <c:v>252.65429999999998</c:v>
                </c:pt>
                <c:pt idx="98">
                  <c:v>255.92759999999998</c:v>
                </c:pt>
                <c:pt idx="99">
                  <c:v>259.85429999999997</c:v>
                </c:pt>
                <c:pt idx="100">
                  <c:v>263.78190000000001</c:v>
                </c:pt>
                <c:pt idx="101">
                  <c:v>266.40000000000003</c:v>
                </c:pt>
                <c:pt idx="102">
                  <c:v>270.32759999999996</c:v>
                </c:pt>
                <c:pt idx="103">
                  <c:v>272.94570000000004</c:v>
                </c:pt>
                <c:pt idx="104">
                  <c:v>276.87240000000003</c:v>
                </c:pt>
                <c:pt idx="105">
                  <c:v>279.4905</c:v>
                </c:pt>
                <c:pt idx="106">
                  <c:v>283.41809999999998</c:v>
                </c:pt>
                <c:pt idx="107">
                  <c:v>286.69050000000004</c:v>
                </c:pt>
                <c:pt idx="108">
                  <c:v>288.65429999999998</c:v>
                </c:pt>
                <c:pt idx="109">
                  <c:v>289.96380000000005</c:v>
                </c:pt>
                <c:pt idx="110">
                  <c:v>292.58190000000002</c:v>
                </c:pt>
                <c:pt idx="111">
                  <c:v>295.2</c:v>
                </c:pt>
                <c:pt idx="112">
                  <c:v>297.16380000000004</c:v>
                </c:pt>
                <c:pt idx="113">
                  <c:v>299.78190000000001</c:v>
                </c:pt>
                <c:pt idx="114">
                  <c:v>303.70949999999999</c:v>
                </c:pt>
                <c:pt idx="115">
                  <c:v>307.63619999999997</c:v>
                </c:pt>
                <c:pt idx="116">
                  <c:v>310.2543</c:v>
                </c:pt>
                <c:pt idx="117">
                  <c:v>314.18190000000004</c:v>
                </c:pt>
                <c:pt idx="118">
                  <c:v>316.8</c:v>
                </c:pt>
                <c:pt idx="119">
                  <c:v>320.7276</c:v>
                </c:pt>
                <c:pt idx="120">
                  <c:v>322.69050000000004</c:v>
                </c:pt>
                <c:pt idx="121">
                  <c:v>327.2724</c:v>
                </c:pt>
                <c:pt idx="122">
                  <c:v>331.2</c:v>
                </c:pt>
                <c:pt idx="123">
                  <c:v>334.47240000000005</c:v>
                </c:pt>
                <c:pt idx="124">
                  <c:v>337.74570000000006</c:v>
                </c:pt>
                <c:pt idx="125">
                  <c:v>341.0181</c:v>
                </c:pt>
                <c:pt idx="126">
                  <c:v>344.94570000000004</c:v>
                </c:pt>
                <c:pt idx="127">
                  <c:v>347.56380000000001</c:v>
                </c:pt>
                <c:pt idx="128">
                  <c:v>351.4905</c:v>
                </c:pt>
                <c:pt idx="129">
                  <c:v>354.10949999999997</c:v>
                </c:pt>
                <c:pt idx="130">
                  <c:v>357.38190000000003</c:v>
                </c:pt>
                <c:pt idx="131">
                  <c:v>360</c:v>
                </c:pt>
                <c:pt idx="132">
                  <c:v>362.61810000000003</c:v>
                </c:pt>
                <c:pt idx="133">
                  <c:v>365.2362</c:v>
                </c:pt>
                <c:pt idx="134">
                  <c:v>368.5095</c:v>
                </c:pt>
                <c:pt idx="135">
                  <c:v>371.12759999999997</c:v>
                </c:pt>
                <c:pt idx="136">
                  <c:v>373.74570000000006</c:v>
                </c:pt>
                <c:pt idx="137">
                  <c:v>377.0181</c:v>
                </c:pt>
                <c:pt idx="138">
                  <c:v>379.63619999999997</c:v>
                </c:pt>
                <c:pt idx="139">
                  <c:v>381.6</c:v>
                </c:pt>
                <c:pt idx="140">
                  <c:v>383.56380000000001</c:v>
                </c:pt>
                <c:pt idx="141">
                  <c:v>386.18190000000004</c:v>
                </c:pt>
                <c:pt idx="142">
                  <c:v>388.14570000000003</c:v>
                </c:pt>
                <c:pt idx="143">
                  <c:v>390.10949999999997</c:v>
                </c:pt>
                <c:pt idx="144">
                  <c:v>392.7276</c:v>
                </c:pt>
                <c:pt idx="145">
                  <c:v>394.69050000000004</c:v>
                </c:pt>
                <c:pt idx="146">
                  <c:v>396.65429999999998</c:v>
                </c:pt>
                <c:pt idx="147">
                  <c:v>399.2724</c:v>
                </c:pt>
                <c:pt idx="148">
                  <c:v>401.2362</c:v>
                </c:pt>
                <c:pt idx="149">
                  <c:v>403.2</c:v>
                </c:pt>
                <c:pt idx="150">
                  <c:v>405.81810000000002</c:v>
                </c:pt>
                <c:pt idx="151">
                  <c:v>408.43619999999999</c:v>
                </c:pt>
                <c:pt idx="152">
                  <c:v>410.40000000000003</c:v>
                </c:pt>
                <c:pt idx="153">
                  <c:v>413.0181</c:v>
                </c:pt>
                <c:pt idx="154">
                  <c:v>416.29050000000001</c:v>
                </c:pt>
                <c:pt idx="155">
                  <c:v>418.90949999999998</c:v>
                </c:pt>
                <c:pt idx="156">
                  <c:v>421.52760000000001</c:v>
                </c:pt>
                <c:pt idx="157">
                  <c:v>424.14570000000003</c:v>
                </c:pt>
                <c:pt idx="158">
                  <c:v>426.10949999999997</c:v>
                </c:pt>
                <c:pt idx="159">
                  <c:v>428.07240000000002</c:v>
                </c:pt>
                <c:pt idx="160">
                  <c:v>430.69050000000004</c:v>
                </c:pt>
                <c:pt idx="161">
                  <c:v>432.65429999999998</c:v>
                </c:pt>
                <c:pt idx="162">
                  <c:v>434.61810000000003</c:v>
                </c:pt>
                <c:pt idx="163">
                  <c:v>435.92759999999998</c:v>
                </c:pt>
                <c:pt idx="164">
                  <c:v>437.2362</c:v>
                </c:pt>
                <c:pt idx="165">
                  <c:v>438.54570000000001</c:v>
                </c:pt>
                <c:pt idx="166">
                  <c:v>440.5095</c:v>
                </c:pt>
                <c:pt idx="167">
                  <c:v>441.16380000000004</c:v>
                </c:pt>
                <c:pt idx="168">
                  <c:v>443.12759999999997</c:v>
                </c:pt>
                <c:pt idx="169">
                  <c:v>445.09050000000002</c:v>
                </c:pt>
                <c:pt idx="170">
                  <c:v>447.05430000000001</c:v>
                </c:pt>
                <c:pt idx="171">
                  <c:v>449.0181</c:v>
                </c:pt>
                <c:pt idx="172">
                  <c:v>449.67240000000004</c:v>
                </c:pt>
                <c:pt idx="173" formatCode="0.0000">
                  <c:v>450.32759999999996</c:v>
                </c:pt>
                <c:pt idx="174">
                  <c:v>449.67240000000004</c:v>
                </c:pt>
                <c:pt idx="175">
                  <c:v>449.0181</c:v>
                </c:pt>
                <c:pt idx="176">
                  <c:v>449.0181</c:v>
                </c:pt>
                <c:pt idx="177">
                  <c:v>447.70949999999999</c:v>
                </c:pt>
                <c:pt idx="178">
                  <c:v>447.05430000000001</c:v>
                </c:pt>
                <c:pt idx="179">
                  <c:v>447.05430000000001</c:v>
                </c:pt>
                <c:pt idx="180">
                  <c:v>445.74570000000006</c:v>
                </c:pt>
                <c:pt idx="181">
                  <c:v>445.09050000000002</c:v>
                </c:pt>
                <c:pt idx="182">
                  <c:v>445.09050000000002</c:v>
                </c:pt>
                <c:pt idx="183">
                  <c:v>443.78190000000001</c:v>
                </c:pt>
                <c:pt idx="184">
                  <c:v>443.12759999999997</c:v>
                </c:pt>
                <c:pt idx="185">
                  <c:v>442.47240000000005</c:v>
                </c:pt>
                <c:pt idx="186">
                  <c:v>441.16380000000004</c:v>
                </c:pt>
                <c:pt idx="187">
                  <c:v>440.5095</c:v>
                </c:pt>
                <c:pt idx="188">
                  <c:v>439.2</c:v>
                </c:pt>
                <c:pt idx="189">
                  <c:v>438.54570000000001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4F-4252-A778-F01BEF10CD81}"/>
            </c:ext>
          </c:extLst>
        </c:ser>
        <c:ser>
          <c:idx val="2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'Resisting Power'!$B$4:$B$704</c:f>
              <c:numCache>
                <c:formatCode>0.00</c:formatCode>
                <c:ptCount val="701"/>
                <c:pt idx="0">
                  <c:v>48.800348141013629</c:v>
                </c:pt>
                <c:pt idx="1">
                  <c:v>49.342791035184042</c:v>
                </c:pt>
                <c:pt idx="2">
                  <c:v>50.427676823524834</c:v>
                </c:pt>
                <c:pt idx="3">
                  <c:v>51.241341164780451</c:v>
                </c:pt>
                <c:pt idx="4">
                  <c:v>52.326226953121257</c:v>
                </c:pt>
                <c:pt idx="5">
                  <c:v>53.139891294376852</c:v>
                </c:pt>
                <c:pt idx="6">
                  <c:v>53.953555635632455</c:v>
                </c:pt>
                <c:pt idx="7">
                  <c:v>55.038441423973268</c:v>
                </c:pt>
                <c:pt idx="8">
                  <c:v>56.123327212314081</c:v>
                </c:pt>
                <c:pt idx="9">
                  <c:v>56.936991553569683</c:v>
                </c:pt>
                <c:pt idx="10">
                  <c:v>57.750655894825293</c:v>
                </c:pt>
                <c:pt idx="11">
                  <c:v>58.835541683166099</c:v>
                </c:pt>
                <c:pt idx="12">
                  <c:v>59.649206024421694</c:v>
                </c:pt>
                <c:pt idx="13">
                  <c:v>60.462870365677304</c:v>
                </c:pt>
                <c:pt idx="14">
                  <c:v>61.54775615401811</c:v>
                </c:pt>
                <c:pt idx="15">
                  <c:v>62.361420495273734</c:v>
                </c:pt>
                <c:pt idx="16">
                  <c:v>63.717527730699729</c:v>
                </c:pt>
                <c:pt idx="17">
                  <c:v>65.073634966125738</c:v>
                </c:pt>
                <c:pt idx="18">
                  <c:v>66.429742201551747</c:v>
                </c:pt>
                <c:pt idx="19">
                  <c:v>67.514140181534486</c:v>
                </c:pt>
                <c:pt idx="20">
                  <c:v>68.599025969875285</c:v>
                </c:pt>
                <c:pt idx="21">
                  <c:v>69.412690311130902</c:v>
                </c:pt>
                <c:pt idx="22">
                  <c:v>70.497576099471701</c:v>
                </c:pt>
                <c:pt idx="23">
                  <c:v>71.311240440727303</c:v>
                </c:pt>
                <c:pt idx="24">
                  <c:v>72.396126229068116</c:v>
                </c:pt>
                <c:pt idx="25">
                  <c:v>73.209790570323719</c:v>
                </c:pt>
                <c:pt idx="26">
                  <c:v>73.752233464494125</c:v>
                </c:pt>
                <c:pt idx="27">
                  <c:v>74.837119252834938</c:v>
                </c:pt>
                <c:pt idx="28">
                  <c:v>75.650783594090527</c:v>
                </c:pt>
                <c:pt idx="29">
                  <c:v>76.464447935346129</c:v>
                </c:pt>
                <c:pt idx="30">
                  <c:v>77.278112276601746</c:v>
                </c:pt>
                <c:pt idx="31">
                  <c:v>78.362998064942559</c:v>
                </c:pt>
                <c:pt idx="32">
                  <c:v>79.176662406198147</c:v>
                </c:pt>
                <c:pt idx="33">
                  <c:v>79.990326747453764</c:v>
                </c:pt>
                <c:pt idx="34">
                  <c:v>81.346433982879759</c:v>
                </c:pt>
                <c:pt idx="35">
                  <c:v>82.702541218305782</c:v>
                </c:pt>
                <c:pt idx="36">
                  <c:v>83.787427006646595</c:v>
                </c:pt>
                <c:pt idx="37">
                  <c:v>84.87231279498738</c:v>
                </c:pt>
                <c:pt idx="38">
                  <c:v>85.957198583328207</c:v>
                </c:pt>
                <c:pt idx="39">
                  <c:v>86.77086292458381</c:v>
                </c:pt>
                <c:pt idx="40">
                  <c:v>87.584527265839412</c:v>
                </c:pt>
                <c:pt idx="41">
                  <c:v>88.12697016000979</c:v>
                </c:pt>
                <c:pt idx="42">
                  <c:v>88.669413054180225</c:v>
                </c:pt>
                <c:pt idx="43">
                  <c:v>89.211855948350617</c:v>
                </c:pt>
                <c:pt idx="44">
                  <c:v>90.025520289606234</c:v>
                </c:pt>
                <c:pt idx="45">
                  <c:v>90.296741736691416</c:v>
                </c:pt>
                <c:pt idx="46">
                  <c:v>91.110406077947033</c:v>
                </c:pt>
                <c:pt idx="47">
                  <c:v>92.195291866287832</c:v>
                </c:pt>
                <c:pt idx="48">
                  <c:v>93.008956207543449</c:v>
                </c:pt>
                <c:pt idx="49">
                  <c:v>93.822620548799051</c:v>
                </c:pt>
                <c:pt idx="50">
                  <c:v>94.90750633713985</c:v>
                </c:pt>
                <c:pt idx="51">
                  <c:v>95.449949231310256</c:v>
                </c:pt>
                <c:pt idx="52">
                  <c:v>96.263613572565873</c:v>
                </c:pt>
                <c:pt idx="53">
                  <c:v>96.806056466736266</c:v>
                </c:pt>
                <c:pt idx="54">
                  <c:v>97.619720807991882</c:v>
                </c:pt>
                <c:pt idx="55">
                  <c:v>98.433385149247471</c:v>
                </c:pt>
                <c:pt idx="56">
                  <c:v>99.247049490503073</c:v>
                </c:pt>
                <c:pt idx="57">
                  <c:v>100.06071383175869</c:v>
                </c:pt>
                <c:pt idx="58">
                  <c:v>100.87437817301428</c:v>
                </c:pt>
                <c:pt idx="59">
                  <c:v>101.68804251426991</c:v>
                </c:pt>
                <c:pt idx="60">
                  <c:v>102.77292830261069</c:v>
                </c:pt>
                <c:pt idx="61">
                  <c:v>103.58659264386633</c:v>
                </c:pt>
                <c:pt idx="62">
                  <c:v>104.67147843220712</c:v>
                </c:pt>
                <c:pt idx="63">
                  <c:v>105.75636422054791</c:v>
                </c:pt>
                <c:pt idx="64">
                  <c:v>107.11247145597393</c:v>
                </c:pt>
                <c:pt idx="65">
                  <c:v>107.65491435014432</c:v>
                </c:pt>
                <c:pt idx="66">
                  <c:v>108.46857869139996</c:v>
                </c:pt>
                <c:pt idx="67">
                  <c:v>109.28224303265554</c:v>
                </c:pt>
                <c:pt idx="68">
                  <c:v>110.36712882099637</c:v>
                </c:pt>
                <c:pt idx="69">
                  <c:v>111.72323605642235</c:v>
                </c:pt>
                <c:pt idx="70">
                  <c:v>112.80812184476318</c:v>
                </c:pt>
                <c:pt idx="71">
                  <c:v>114.43545052727436</c:v>
                </c:pt>
                <c:pt idx="72">
                  <c:v>115.52033631561518</c:v>
                </c:pt>
                <c:pt idx="73">
                  <c:v>116.60522210395598</c:v>
                </c:pt>
                <c:pt idx="74">
                  <c:v>117.41888644521161</c:v>
                </c:pt>
                <c:pt idx="75">
                  <c:v>118.2325507864672</c:v>
                </c:pt>
                <c:pt idx="76">
                  <c:v>119.31743657480801</c:v>
                </c:pt>
                <c:pt idx="77">
                  <c:v>120.9447652573192</c:v>
                </c:pt>
                <c:pt idx="78">
                  <c:v>122.84331538691563</c:v>
                </c:pt>
                <c:pt idx="79">
                  <c:v>124.47064406942685</c:v>
                </c:pt>
                <c:pt idx="80">
                  <c:v>126.36919419902326</c:v>
                </c:pt>
                <c:pt idx="81">
                  <c:v>127.99652288153445</c:v>
                </c:pt>
                <c:pt idx="82">
                  <c:v>129.89507301113088</c:v>
                </c:pt>
                <c:pt idx="83">
                  <c:v>131.79362314072728</c:v>
                </c:pt>
                <c:pt idx="84">
                  <c:v>134.23461616449413</c:v>
                </c:pt>
                <c:pt idx="85">
                  <c:v>136.4043877411757</c:v>
                </c:pt>
                <c:pt idx="86">
                  <c:v>138.30293787077213</c:v>
                </c:pt>
                <c:pt idx="87">
                  <c:v>139.93026655328333</c:v>
                </c:pt>
                <c:pt idx="88">
                  <c:v>141.01515234162414</c:v>
                </c:pt>
                <c:pt idx="89">
                  <c:v>142.64248102413538</c:v>
                </c:pt>
                <c:pt idx="90">
                  <c:v>144.54103115373178</c:v>
                </c:pt>
                <c:pt idx="91">
                  <c:v>146.9820241774986</c:v>
                </c:pt>
                <c:pt idx="92">
                  <c:v>148.33813141292458</c:v>
                </c:pt>
                <c:pt idx="93">
                  <c:v>150.50790298960621</c:v>
                </c:pt>
                <c:pt idx="94">
                  <c:v>152.67718675792975</c:v>
                </c:pt>
                <c:pt idx="95">
                  <c:v>154.57573688752615</c:v>
                </c:pt>
                <c:pt idx="96">
                  <c:v>156.47428701712255</c:v>
                </c:pt>
                <c:pt idx="97">
                  <c:v>158.6440585938042</c:v>
                </c:pt>
                <c:pt idx="98">
                  <c:v>160.8138301704858</c:v>
                </c:pt>
                <c:pt idx="99">
                  <c:v>163.25482319425262</c:v>
                </c:pt>
                <c:pt idx="100">
                  <c:v>165.42459477093422</c:v>
                </c:pt>
                <c:pt idx="101">
                  <c:v>167.32314490053062</c:v>
                </c:pt>
                <c:pt idx="102">
                  <c:v>169.76413792429747</c:v>
                </c:pt>
                <c:pt idx="103">
                  <c:v>171.39146660680868</c:v>
                </c:pt>
                <c:pt idx="104">
                  <c:v>173.5612381834903</c:v>
                </c:pt>
                <c:pt idx="105">
                  <c:v>175.4597883130867</c:v>
                </c:pt>
                <c:pt idx="106">
                  <c:v>177.6295598897683</c:v>
                </c:pt>
                <c:pt idx="107">
                  <c:v>179.52811001936473</c:v>
                </c:pt>
                <c:pt idx="108">
                  <c:v>180.88421725479071</c:v>
                </c:pt>
                <c:pt idx="109">
                  <c:v>181.69788159604636</c:v>
                </c:pt>
                <c:pt idx="110">
                  <c:v>183.05398883147234</c:v>
                </c:pt>
                <c:pt idx="111">
                  <c:v>184.95253896106877</c:v>
                </c:pt>
                <c:pt idx="112">
                  <c:v>186.03742474940952</c:v>
                </c:pt>
                <c:pt idx="113">
                  <c:v>187.66475343192076</c:v>
                </c:pt>
                <c:pt idx="114">
                  <c:v>189.83452500860236</c:v>
                </c:pt>
                <c:pt idx="115">
                  <c:v>192.27551803236921</c:v>
                </c:pt>
                <c:pt idx="116">
                  <c:v>194.17406816196561</c:v>
                </c:pt>
                <c:pt idx="117">
                  <c:v>196.61506118573243</c:v>
                </c:pt>
                <c:pt idx="118">
                  <c:v>198.51361131532886</c:v>
                </c:pt>
                <c:pt idx="119">
                  <c:v>200.41216144492526</c:v>
                </c:pt>
                <c:pt idx="120">
                  <c:v>202.31071157452169</c:v>
                </c:pt>
                <c:pt idx="121">
                  <c:v>204.75170459828848</c:v>
                </c:pt>
                <c:pt idx="122">
                  <c:v>207.4639190691405</c:v>
                </c:pt>
                <c:pt idx="123">
                  <c:v>209.3624691987369</c:v>
                </c:pt>
                <c:pt idx="124">
                  <c:v>211.26101932833333</c:v>
                </c:pt>
                <c:pt idx="125">
                  <c:v>213.43079090501496</c:v>
                </c:pt>
                <c:pt idx="126">
                  <c:v>215.87178392878175</c:v>
                </c:pt>
                <c:pt idx="127">
                  <c:v>217.49911261129293</c:v>
                </c:pt>
                <c:pt idx="128">
                  <c:v>219.66888418797458</c:v>
                </c:pt>
                <c:pt idx="129">
                  <c:v>221.56743431757101</c:v>
                </c:pt>
                <c:pt idx="130">
                  <c:v>223.19476300008219</c:v>
                </c:pt>
                <c:pt idx="131">
                  <c:v>224.8220916825934</c:v>
                </c:pt>
                <c:pt idx="132">
                  <c:v>226.44942036510463</c:v>
                </c:pt>
                <c:pt idx="133">
                  <c:v>228.34797049470106</c:v>
                </c:pt>
                <c:pt idx="134">
                  <c:v>229.70407773012701</c:v>
                </c:pt>
                <c:pt idx="135">
                  <c:v>231.87384930680867</c:v>
                </c:pt>
                <c:pt idx="136">
                  <c:v>233.2299565422347</c:v>
                </c:pt>
                <c:pt idx="137">
                  <c:v>235.1285066718311</c:v>
                </c:pt>
                <c:pt idx="138">
                  <c:v>237.2982782485127</c:v>
                </c:pt>
                <c:pt idx="139">
                  <c:v>238.65389767558062</c:v>
                </c:pt>
                <c:pt idx="140">
                  <c:v>240.55244780517702</c:v>
                </c:pt>
                <c:pt idx="141">
                  <c:v>242.72221938185871</c:v>
                </c:pt>
                <c:pt idx="142">
                  <c:v>244.62076951145505</c:v>
                </c:pt>
                <c:pt idx="143">
                  <c:v>246.51931964105151</c:v>
                </c:pt>
                <c:pt idx="144">
                  <c:v>248.41786977064785</c:v>
                </c:pt>
                <c:pt idx="145">
                  <c:v>250.31641990024431</c:v>
                </c:pt>
                <c:pt idx="146">
                  <c:v>251.94374858275549</c:v>
                </c:pt>
                <c:pt idx="147">
                  <c:v>254.11352015943714</c:v>
                </c:pt>
                <c:pt idx="148">
                  <c:v>256.28329173611877</c:v>
                </c:pt>
                <c:pt idx="149">
                  <c:v>258.18184186571511</c:v>
                </c:pt>
                <c:pt idx="150">
                  <c:v>260.08039199531157</c:v>
                </c:pt>
                <c:pt idx="151">
                  <c:v>262.2501635719932</c:v>
                </c:pt>
                <c:pt idx="152">
                  <c:v>264.41993514867477</c:v>
                </c:pt>
                <c:pt idx="153">
                  <c:v>266.58970672535639</c:v>
                </c:pt>
                <c:pt idx="154">
                  <c:v>269.03069974912319</c:v>
                </c:pt>
                <c:pt idx="155">
                  <c:v>271.20047132580481</c:v>
                </c:pt>
                <c:pt idx="156">
                  <c:v>273.09902145540121</c:v>
                </c:pt>
                <c:pt idx="157">
                  <c:v>275.54001447916806</c:v>
                </c:pt>
                <c:pt idx="158">
                  <c:v>277.1673431616793</c:v>
                </c:pt>
                <c:pt idx="159">
                  <c:v>279.0658932912757</c:v>
                </c:pt>
                <c:pt idx="160">
                  <c:v>280.9644434208721</c:v>
                </c:pt>
                <c:pt idx="161">
                  <c:v>282.59177210338328</c:v>
                </c:pt>
                <c:pt idx="162">
                  <c:v>284.49032223297974</c:v>
                </c:pt>
                <c:pt idx="163">
                  <c:v>286.38887236257614</c:v>
                </c:pt>
                <c:pt idx="164">
                  <c:v>288.2874224921726</c:v>
                </c:pt>
                <c:pt idx="165">
                  <c:v>290.18597262176894</c:v>
                </c:pt>
                <c:pt idx="166">
                  <c:v>292.62696564553573</c:v>
                </c:pt>
                <c:pt idx="167">
                  <c:v>294.25429432804697</c:v>
                </c:pt>
                <c:pt idx="168">
                  <c:v>296.42406590472859</c:v>
                </c:pt>
                <c:pt idx="169">
                  <c:v>299.13628037558061</c:v>
                </c:pt>
                <c:pt idx="170">
                  <c:v>302.39093774060308</c:v>
                </c:pt>
                <c:pt idx="171">
                  <c:v>304.56070931728465</c:v>
                </c:pt>
                <c:pt idx="172">
                  <c:v>306.18803799979588</c:v>
                </c:pt>
                <c:pt idx="173">
                  <c:v>307.00170234105144</c:v>
                </c:pt>
                <c:pt idx="174">
                  <c:v>308.08658812939223</c:v>
                </c:pt>
                <c:pt idx="175">
                  <c:v>309.17147391773312</c:v>
                </c:pt>
                <c:pt idx="176">
                  <c:v>309.98513825898868</c:v>
                </c:pt>
                <c:pt idx="177">
                  <c:v>311.61246694149992</c:v>
                </c:pt>
                <c:pt idx="178">
                  <c:v>313.23979562401109</c:v>
                </c:pt>
                <c:pt idx="179">
                  <c:v>314.59590285943716</c:v>
                </c:pt>
                <c:pt idx="180">
                  <c:v>315.95201009486311</c:v>
                </c:pt>
                <c:pt idx="181">
                  <c:v>317.85056022445951</c:v>
                </c:pt>
                <c:pt idx="182">
                  <c:v>319.20666745988552</c:v>
                </c:pt>
                <c:pt idx="183">
                  <c:v>320.83399614239676</c:v>
                </c:pt>
                <c:pt idx="184">
                  <c:v>322.46132482490799</c:v>
                </c:pt>
                <c:pt idx="185">
                  <c:v>324.08816569906111</c:v>
                </c:pt>
                <c:pt idx="186">
                  <c:v>325.98671582865757</c:v>
                </c:pt>
                <c:pt idx="187">
                  <c:v>327.34282306408346</c:v>
                </c:pt>
                <c:pt idx="188">
                  <c:v>329.51259464076514</c:v>
                </c:pt>
                <c:pt idx="189">
                  <c:v>330.86870187619115</c:v>
                </c:pt>
              </c:numCache>
            </c:numRef>
          </c:xVal>
          <c:yVal>
            <c:numRef>
              <c:f>'Resisting Power'!$D$4:$D$704</c:f>
              <c:numCache>
                <c:formatCode>0.00</c:formatCode>
                <c:ptCount val="7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4F-4252-A778-F01BEF10CD81}"/>
            </c:ext>
          </c:extLst>
        </c:ser>
        <c:ser>
          <c:idx val="0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'Resisting Power'!$B$4:$B$704</c:f>
              <c:numCache>
                <c:formatCode>0.00</c:formatCode>
                <c:ptCount val="701"/>
                <c:pt idx="0">
                  <c:v>48.800348141013629</c:v>
                </c:pt>
                <c:pt idx="1">
                  <c:v>49.342791035184042</c:v>
                </c:pt>
                <c:pt idx="2">
                  <c:v>50.427676823524834</c:v>
                </c:pt>
                <c:pt idx="3">
                  <c:v>51.241341164780451</c:v>
                </c:pt>
                <c:pt idx="4">
                  <c:v>52.326226953121257</c:v>
                </c:pt>
                <c:pt idx="5">
                  <c:v>53.139891294376852</c:v>
                </c:pt>
                <c:pt idx="6">
                  <c:v>53.953555635632455</c:v>
                </c:pt>
                <c:pt idx="7">
                  <c:v>55.038441423973268</c:v>
                </c:pt>
                <c:pt idx="8">
                  <c:v>56.123327212314081</c:v>
                </c:pt>
                <c:pt idx="9">
                  <c:v>56.936991553569683</c:v>
                </c:pt>
                <c:pt idx="10">
                  <c:v>57.750655894825293</c:v>
                </c:pt>
                <c:pt idx="11">
                  <c:v>58.835541683166099</c:v>
                </c:pt>
                <c:pt idx="12">
                  <c:v>59.649206024421694</c:v>
                </c:pt>
                <c:pt idx="13">
                  <c:v>60.462870365677304</c:v>
                </c:pt>
                <c:pt idx="14">
                  <c:v>61.54775615401811</c:v>
                </c:pt>
                <c:pt idx="15">
                  <c:v>62.361420495273734</c:v>
                </c:pt>
                <c:pt idx="16">
                  <c:v>63.717527730699729</c:v>
                </c:pt>
                <c:pt idx="17">
                  <c:v>65.073634966125738</c:v>
                </c:pt>
                <c:pt idx="18">
                  <c:v>66.429742201551747</c:v>
                </c:pt>
                <c:pt idx="19">
                  <c:v>67.514140181534486</c:v>
                </c:pt>
                <c:pt idx="20">
                  <c:v>68.599025969875285</c:v>
                </c:pt>
                <c:pt idx="21">
                  <c:v>69.412690311130902</c:v>
                </c:pt>
                <c:pt idx="22">
                  <c:v>70.497576099471701</c:v>
                </c:pt>
                <c:pt idx="23">
                  <c:v>71.311240440727303</c:v>
                </c:pt>
                <c:pt idx="24">
                  <c:v>72.396126229068116</c:v>
                </c:pt>
                <c:pt idx="25">
                  <c:v>73.209790570323719</c:v>
                </c:pt>
                <c:pt idx="26">
                  <c:v>73.752233464494125</c:v>
                </c:pt>
                <c:pt idx="27">
                  <c:v>74.837119252834938</c:v>
                </c:pt>
                <c:pt idx="28">
                  <c:v>75.650783594090527</c:v>
                </c:pt>
                <c:pt idx="29">
                  <c:v>76.464447935346129</c:v>
                </c:pt>
                <c:pt idx="30">
                  <c:v>77.278112276601746</c:v>
                </c:pt>
                <c:pt idx="31">
                  <c:v>78.362998064942559</c:v>
                </c:pt>
                <c:pt idx="32">
                  <c:v>79.176662406198147</c:v>
                </c:pt>
                <c:pt idx="33">
                  <c:v>79.990326747453764</c:v>
                </c:pt>
                <c:pt idx="34">
                  <c:v>81.346433982879759</c:v>
                </c:pt>
                <c:pt idx="35">
                  <c:v>82.702541218305782</c:v>
                </c:pt>
                <c:pt idx="36">
                  <c:v>83.787427006646595</c:v>
                </c:pt>
                <c:pt idx="37">
                  <c:v>84.87231279498738</c:v>
                </c:pt>
                <c:pt idx="38">
                  <c:v>85.957198583328207</c:v>
                </c:pt>
                <c:pt idx="39">
                  <c:v>86.77086292458381</c:v>
                </c:pt>
                <c:pt idx="40">
                  <c:v>87.584527265839412</c:v>
                </c:pt>
                <c:pt idx="41">
                  <c:v>88.12697016000979</c:v>
                </c:pt>
                <c:pt idx="42">
                  <c:v>88.669413054180225</c:v>
                </c:pt>
                <c:pt idx="43">
                  <c:v>89.211855948350617</c:v>
                </c:pt>
                <c:pt idx="44">
                  <c:v>90.025520289606234</c:v>
                </c:pt>
                <c:pt idx="45">
                  <c:v>90.296741736691416</c:v>
                </c:pt>
                <c:pt idx="46">
                  <c:v>91.110406077947033</c:v>
                </c:pt>
                <c:pt idx="47">
                  <c:v>92.195291866287832</c:v>
                </c:pt>
                <c:pt idx="48">
                  <c:v>93.008956207543449</c:v>
                </c:pt>
                <c:pt idx="49">
                  <c:v>93.822620548799051</c:v>
                </c:pt>
                <c:pt idx="50">
                  <c:v>94.90750633713985</c:v>
                </c:pt>
                <c:pt idx="51">
                  <c:v>95.449949231310256</c:v>
                </c:pt>
                <c:pt idx="52">
                  <c:v>96.263613572565873</c:v>
                </c:pt>
                <c:pt idx="53">
                  <c:v>96.806056466736266</c:v>
                </c:pt>
                <c:pt idx="54">
                  <c:v>97.619720807991882</c:v>
                </c:pt>
                <c:pt idx="55">
                  <c:v>98.433385149247471</c:v>
                </c:pt>
                <c:pt idx="56">
                  <c:v>99.247049490503073</c:v>
                </c:pt>
                <c:pt idx="57">
                  <c:v>100.06071383175869</c:v>
                </c:pt>
                <c:pt idx="58">
                  <c:v>100.87437817301428</c:v>
                </c:pt>
                <c:pt idx="59">
                  <c:v>101.68804251426991</c:v>
                </c:pt>
                <c:pt idx="60">
                  <c:v>102.77292830261069</c:v>
                </c:pt>
                <c:pt idx="61">
                  <c:v>103.58659264386633</c:v>
                </c:pt>
                <c:pt idx="62">
                  <c:v>104.67147843220712</c:v>
                </c:pt>
                <c:pt idx="63">
                  <c:v>105.75636422054791</c:v>
                </c:pt>
                <c:pt idx="64">
                  <c:v>107.11247145597393</c:v>
                </c:pt>
                <c:pt idx="65">
                  <c:v>107.65491435014432</c:v>
                </c:pt>
                <c:pt idx="66">
                  <c:v>108.46857869139996</c:v>
                </c:pt>
                <c:pt idx="67">
                  <c:v>109.28224303265554</c:v>
                </c:pt>
                <c:pt idx="68">
                  <c:v>110.36712882099637</c:v>
                </c:pt>
                <c:pt idx="69">
                  <c:v>111.72323605642235</c:v>
                </c:pt>
                <c:pt idx="70">
                  <c:v>112.80812184476318</c:v>
                </c:pt>
                <c:pt idx="71">
                  <c:v>114.43545052727436</c:v>
                </c:pt>
                <c:pt idx="72">
                  <c:v>115.52033631561518</c:v>
                </c:pt>
                <c:pt idx="73">
                  <c:v>116.60522210395598</c:v>
                </c:pt>
                <c:pt idx="74">
                  <c:v>117.41888644521161</c:v>
                </c:pt>
                <c:pt idx="75">
                  <c:v>118.2325507864672</c:v>
                </c:pt>
                <c:pt idx="76">
                  <c:v>119.31743657480801</c:v>
                </c:pt>
                <c:pt idx="77">
                  <c:v>120.9447652573192</c:v>
                </c:pt>
                <c:pt idx="78">
                  <c:v>122.84331538691563</c:v>
                </c:pt>
                <c:pt idx="79">
                  <c:v>124.47064406942685</c:v>
                </c:pt>
                <c:pt idx="80">
                  <c:v>126.36919419902326</c:v>
                </c:pt>
                <c:pt idx="81">
                  <c:v>127.99652288153445</c:v>
                </c:pt>
                <c:pt idx="82">
                  <c:v>129.89507301113088</c:v>
                </c:pt>
                <c:pt idx="83">
                  <c:v>131.79362314072728</c:v>
                </c:pt>
                <c:pt idx="84">
                  <c:v>134.23461616449413</c:v>
                </c:pt>
                <c:pt idx="85">
                  <c:v>136.4043877411757</c:v>
                </c:pt>
                <c:pt idx="86">
                  <c:v>138.30293787077213</c:v>
                </c:pt>
                <c:pt idx="87">
                  <c:v>139.93026655328333</c:v>
                </c:pt>
                <c:pt idx="88">
                  <c:v>141.01515234162414</c:v>
                </c:pt>
                <c:pt idx="89">
                  <c:v>142.64248102413538</c:v>
                </c:pt>
                <c:pt idx="90">
                  <c:v>144.54103115373178</c:v>
                </c:pt>
                <c:pt idx="91">
                  <c:v>146.9820241774986</c:v>
                </c:pt>
                <c:pt idx="92">
                  <c:v>148.33813141292458</c:v>
                </c:pt>
                <c:pt idx="93">
                  <c:v>150.50790298960621</c:v>
                </c:pt>
                <c:pt idx="94">
                  <c:v>152.67718675792975</c:v>
                </c:pt>
                <c:pt idx="95">
                  <c:v>154.57573688752615</c:v>
                </c:pt>
                <c:pt idx="96">
                  <c:v>156.47428701712255</c:v>
                </c:pt>
                <c:pt idx="97">
                  <c:v>158.6440585938042</c:v>
                </c:pt>
                <c:pt idx="98">
                  <c:v>160.8138301704858</c:v>
                </c:pt>
                <c:pt idx="99">
                  <c:v>163.25482319425262</c:v>
                </c:pt>
                <c:pt idx="100">
                  <c:v>165.42459477093422</c:v>
                </c:pt>
                <c:pt idx="101">
                  <c:v>167.32314490053062</c:v>
                </c:pt>
                <c:pt idx="102">
                  <c:v>169.76413792429747</c:v>
                </c:pt>
                <c:pt idx="103">
                  <c:v>171.39146660680868</c:v>
                </c:pt>
                <c:pt idx="104">
                  <c:v>173.5612381834903</c:v>
                </c:pt>
                <c:pt idx="105">
                  <c:v>175.4597883130867</c:v>
                </c:pt>
                <c:pt idx="106">
                  <c:v>177.6295598897683</c:v>
                </c:pt>
                <c:pt idx="107">
                  <c:v>179.52811001936473</c:v>
                </c:pt>
                <c:pt idx="108">
                  <c:v>180.88421725479071</c:v>
                </c:pt>
                <c:pt idx="109">
                  <c:v>181.69788159604636</c:v>
                </c:pt>
                <c:pt idx="110">
                  <c:v>183.05398883147234</c:v>
                </c:pt>
                <c:pt idx="111">
                  <c:v>184.95253896106877</c:v>
                </c:pt>
                <c:pt idx="112">
                  <c:v>186.03742474940952</c:v>
                </c:pt>
                <c:pt idx="113">
                  <c:v>187.66475343192076</c:v>
                </c:pt>
                <c:pt idx="114">
                  <c:v>189.83452500860236</c:v>
                </c:pt>
                <c:pt idx="115">
                  <c:v>192.27551803236921</c:v>
                </c:pt>
                <c:pt idx="116">
                  <c:v>194.17406816196561</c:v>
                </c:pt>
                <c:pt idx="117">
                  <c:v>196.61506118573243</c:v>
                </c:pt>
                <c:pt idx="118">
                  <c:v>198.51361131532886</c:v>
                </c:pt>
                <c:pt idx="119">
                  <c:v>200.41216144492526</c:v>
                </c:pt>
                <c:pt idx="120">
                  <c:v>202.31071157452169</c:v>
                </c:pt>
                <c:pt idx="121">
                  <c:v>204.75170459828848</c:v>
                </c:pt>
                <c:pt idx="122">
                  <c:v>207.4639190691405</c:v>
                </c:pt>
                <c:pt idx="123">
                  <c:v>209.3624691987369</c:v>
                </c:pt>
                <c:pt idx="124">
                  <c:v>211.26101932833333</c:v>
                </c:pt>
                <c:pt idx="125">
                  <c:v>213.43079090501496</c:v>
                </c:pt>
                <c:pt idx="126">
                  <c:v>215.87178392878175</c:v>
                </c:pt>
                <c:pt idx="127">
                  <c:v>217.49911261129293</c:v>
                </c:pt>
                <c:pt idx="128">
                  <c:v>219.66888418797458</c:v>
                </c:pt>
                <c:pt idx="129">
                  <c:v>221.56743431757101</c:v>
                </c:pt>
                <c:pt idx="130">
                  <c:v>223.19476300008219</c:v>
                </c:pt>
                <c:pt idx="131">
                  <c:v>224.8220916825934</c:v>
                </c:pt>
                <c:pt idx="132">
                  <c:v>226.44942036510463</c:v>
                </c:pt>
                <c:pt idx="133">
                  <c:v>228.34797049470106</c:v>
                </c:pt>
                <c:pt idx="134">
                  <c:v>229.70407773012701</c:v>
                </c:pt>
                <c:pt idx="135">
                  <c:v>231.87384930680867</c:v>
                </c:pt>
                <c:pt idx="136">
                  <c:v>233.2299565422347</c:v>
                </c:pt>
                <c:pt idx="137">
                  <c:v>235.1285066718311</c:v>
                </c:pt>
                <c:pt idx="138">
                  <c:v>237.2982782485127</c:v>
                </c:pt>
                <c:pt idx="139">
                  <c:v>238.65389767558062</c:v>
                </c:pt>
                <c:pt idx="140">
                  <c:v>240.55244780517702</c:v>
                </c:pt>
                <c:pt idx="141">
                  <c:v>242.72221938185871</c:v>
                </c:pt>
                <c:pt idx="142">
                  <c:v>244.62076951145505</c:v>
                </c:pt>
                <c:pt idx="143">
                  <c:v>246.51931964105151</c:v>
                </c:pt>
                <c:pt idx="144">
                  <c:v>248.41786977064785</c:v>
                </c:pt>
                <c:pt idx="145">
                  <c:v>250.31641990024431</c:v>
                </c:pt>
                <c:pt idx="146">
                  <c:v>251.94374858275549</c:v>
                </c:pt>
                <c:pt idx="147">
                  <c:v>254.11352015943714</c:v>
                </c:pt>
                <c:pt idx="148">
                  <c:v>256.28329173611877</c:v>
                </c:pt>
                <c:pt idx="149">
                  <c:v>258.18184186571511</c:v>
                </c:pt>
                <c:pt idx="150">
                  <c:v>260.08039199531157</c:v>
                </c:pt>
                <c:pt idx="151">
                  <c:v>262.2501635719932</c:v>
                </c:pt>
                <c:pt idx="152">
                  <c:v>264.41993514867477</c:v>
                </c:pt>
                <c:pt idx="153">
                  <c:v>266.58970672535639</c:v>
                </c:pt>
                <c:pt idx="154">
                  <c:v>269.03069974912319</c:v>
                </c:pt>
                <c:pt idx="155">
                  <c:v>271.20047132580481</c:v>
                </c:pt>
                <c:pt idx="156">
                  <c:v>273.09902145540121</c:v>
                </c:pt>
                <c:pt idx="157">
                  <c:v>275.54001447916806</c:v>
                </c:pt>
                <c:pt idx="158">
                  <c:v>277.1673431616793</c:v>
                </c:pt>
                <c:pt idx="159">
                  <c:v>279.0658932912757</c:v>
                </c:pt>
                <c:pt idx="160">
                  <c:v>280.9644434208721</c:v>
                </c:pt>
                <c:pt idx="161">
                  <c:v>282.59177210338328</c:v>
                </c:pt>
                <c:pt idx="162">
                  <c:v>284.49032223297974</c:v>
                </c:pt>
                <c:pt idx="163">
                  <c:v>286.38887236257614</c:v>
                </c:pt>
                <c:pt idx="164">
                  <c:v>288.2874224921726</c:v>
                </c:pt>
                <c:pt idx="165">
                  <c:v>290.18597262176894</c:v>
                </c:pt>
                <c:pt idx="166">
                  <c:v>292.62696564553573</c:v>
                </c:pt>
                <c:pt idx="167">
                  <c:v>294.25429432804697</c:v>
                </c:pt>
                <c:pt idx="168">
                  <c:v>296.42406590472859</c:v>
                </c:pt>
                <c:pt idx="169">
                  <c:v>299.13628037558061</c:v>
                </c:pt>
                <c:pt idx="170">
                  <c:v>302.39093774060308</c:v>
                </c:pt>
                <c:pt idx="171">
                  <c:v>304.56070931728465</c:v>
                </c:pt>
                <c:pt idx="172">
                  <c:v>306.18803799979588</c:v>
                </c:pt>
                <c:pt idx="173">
                  <c:v>307.00170234105144</c:v>
                </c:pt>
                <c:pt idx="174">
                  <c:v>308.08658812939223</c:v>
                </c:pt>
                <c:pt idx="175">
                  <c:v>309.17147391773312</c:v>
                </c:pt>
                <c:pt idx="176">
                  <c:v>309.98513825898868</c:v>
                </c:pt>
                <c:pt idx="177">
                  <c:v>311.61246694149992</c:v>
                </c:pt>
                <c:pt idx="178">
                  <c:v>313.23979562401109</c:v>
                </c:pt>
                <c:pt idx="179">
                  <c:v>314.59590285943716</c:v>
                </c:pt>
                <c:pt idx="180">
                  <c:v>315.95201009486311</c:v>
                </c:pt>
                <c:pt idx="181">
                  <c:v>317.85056022445951</c:v>
                </c:pt>
                <c:pt idx="182">
                  <c:v>319.20666745988552</c:v>
                </c:pt>
                <c:pt idx="183">
                  <c:v>320.83399614239676</c:v>
                </c:pt>
                <c:pt idx="184">
                  <c:v>322.46132482490799</c:v>
                </c:pt>
                <c:pt idx="185">
                  <c:v>324.08816569906111</c:v>
                </c:pt>
                <c:pt idx="186">
                  <c:v>325.98671582865757</c:v>
                </c:pt>
                <c:pt idx="187">
                  <c:v>327.34282306408346</c:v>
                </c:pt>
                <c:pt idx="188">
                  <c:v>329.51259464076514</c:v>
                </c:pt>
                <c:pt idx="189">
                  <c:v>330.86870187619115</c:v>
                </c:pt>
              </c:numCache>
            </c:numRef>
          </c:xVal>
          <c:yVal>
            <c:numRef>
              <c:f>'Resisting Power'!$C$4:$C$704</c:f>
              <c:numCache>
                <c:formatCode>0.00</c:formatCode>
                <c:ptCount val="701"/>
                <c:pt idx="0">
                  <c:v>2.7070021872109953</c:v>
                </c:pt>
                <c:pt idx="1">
                  <c:v>2.7774493899348456</c:v>
                </c:pt>
                <c:pt idx="2">
                  <c:v>2.9223735446977512</c:v>
                </c:pt>
                <c:pt idx="3">
                  <c:v>3.034650623499545</c:v>
                </c:pt>
                <c:pt idx="4">
                  <c:v>3.1892264200402014</c:v>
                </c:pt>
                <c:pt idx="5">
                  <c:v>3.3088774050258425</c:v>
                </c:pt>
                <c:pt idx="6">
                  <c:v>3.4317713956314222</c:v>
                </c:pt>
                <c:pt idx="7">
                  <c:v>3.600760550482923</c:v>
                </c:pt>
                <c:pt idx="8">
                  <c:v>3.7757210293833889</c:v>
                </c:pt>
                <c:pt idx="9">
                  <c:v>3.9109308758399628</c:v>
                </c:pt>
                <c:pt idx="10">
                  <c:v>4.0496154562316873</c:v>
                </c:pt>
                <c:pt idx="11">
                  <c:v>4.2400191970661441</c:v>
                </c:pt>
                <c:pt idx="12">
                  <c:v>4.3870045969025533</c:v>
                </c:pt>
                <c:pt idx="13">
                  <c:v>4.5376302508992623</c:v>
                </c:pt>
                <c:pt idx="14">
                  <c:v>4.744212899112819</c:v>
                </c:pt>
                <c:pt idx="15">
                  <c:v>4.9035255864128979</c:v>
                </c:pt>
                <c:pt idx="16">
                  <c:v>5.1775285298399636</c:v>
                </c:pt>
                <c:pt idx="17">
                  <c:v>5.4623329579837581</c:v>
                </c:pt>
                <c:pt idx="18">
                  <c:v>5.758168760045872</c:v>
                </c:pt>
                <c:pt idx="19">
                  <c:v>6.002822782706521</c:v>
                </c:pt>
                <c:pt idx="20">
                  <c:v>6.2549100907632837</c:v>
                </c:pt>
                <c:pt idx="21">
                  <c:v>6.4488533162305917</c:v>
                </c:pt>
                <c:pt idx="22">
                  <c:v>6.7140423505854283</c:v>
                </c:pt>
                <c:pt idx="23">
                  <c:v>6.9179470456268257</c:v>
                </c:pt>
                <c:pt idx="24">
                  <c:v>7.1965982725478428</c:v>
                </c:pt>
                <c:pt idx="25">
                  <c:v>7.4107347868644116</c:v>
                </c:pt>
                <c:pt idx="26">
                  <c:v>7.5559715231728939</c:v>
                </c:pt>
                <c:pt idx="27">
                  <c:v>7.8524609481137544</c:v>
                </c:pt>
                <c:pt idx="28">
                  <c:v>8.0801499071816156</c:v>
                </c:pt>
                <c:pt idx="29">
                  <c:v>8.3124556599683288</c:v>
                </c:pt>
                <c:pt idx="30">
                  <c:v>8.5494278625414477</c:v>
                </c:pt>
                <c:pt idx="31">
                  <c:v>8.8727355464974806</c:v>
                </c:pt>
                <c:pt idx="32">
                  <c:v>9.1207892388348633</c:v>
                </c:pt>
                <c:pt idx="33">
                  <c:v>9.373674901183799</c:v>
                </c:pt>
                <c:pt idx="34">
                  <c:v>9.8060235845670558</c:v>
                </c:pt>
                <c:pt idx="35">
                  <c:v>10.252162229593846</c:v>
                </c:pt>
                <c:pt idx="36">
                  <c:v>10.619156403542076</c:v>
                </c:pt>
                <c:pt idx="37">
                  <c:v>10.995240985302395</c:v>
                </c:pt>
                <c:pt idx="38">
                  <c:v>11.38053367814604</c:v>
                </c:pt>
                <c:pt idx="39">
                  <c:v>11.675616826551273</c:v>
                </c:pt>
                <c:pt idx="40">
                  <c:v>11.975995401598473</c:v>
                </c:pt>
                <c:pt idx="41">
                  <c:v>12.179214210168084</c:v>
                </c:pt>
                <c:pt idx="42">
                  <c:v>12.384823323961962</c:v>
                </c:pt>
                <c:pt idx="43">
                  <c:v>12.592837455888956</c:v>
                </c:pt>
                <c:pt idx="44">
                  <c:v>12.909400247267332</c:v>
                </c:pt>
                <c:pt idx="45">
                  <c:v>13.016139625777997</c:v>
                </c:pt>
                <c:pt idx="46">
                  <c:v>13.340038853054235</c:v>
                </c:pt>
                <c:pt idx="47">
                  <c:v>13.780562363733953</c:v>
                </c:pt>
                <c:pt idx="48">
                  <c:v>14.11751277145374</c:v>
                </c:pt>
                <c:pt idx="49">
                  <c:v>14.46013930233334</c:v>
                </c:pt>
                <c:pt idx="50">
                  <c:v>14.925890027056649</c:v>
                </c:pt>
                <c:pt idx="51">
                  <c:v>15.162619357842132</c:v>
                </c:pt>
                <c:pt idx="52">
                  <c:v>15.522572194606427</c:v>
                </c:pt>
                <c:pt idx="53">
                  <c:v>15.765801435832154</c:v>
                </c:pt>
                <c:pt idx="54">
                  <c:v>16.135573105017279</c:v>
                </c:pt>
                <c:pt idx="55">
                  <c:v>16.511302281744964</c:v>
                </c:pt>
                <c:pt idx="56">
                  <c:v>16.893038622082766</c:v>
                </c:pt>
                <c:pt idx="57">
                  <c:v>17.280831782098218</c:v>
                </c:pt>
                <c:pt idx="58">
                  <c:v>17.674731417858865</c:v>
                </c:pt>
                <c:pt idx="59">
                  <c:v>18.074787185432264</c:v>
                </c:pt>
                <c:pt idx="60">
                  <c:v>18.617856905874085</c:v>
                </c:pt>
                <c:pt idx="61">
                  <c:v>19.032470087939899</c:v>
                </c:pt>
                <c:pt idx="62">
                  <c:v>19.595129927505646</c:v>
                </c:pt>
                <c:pt idx="63">
                  <c:v>20.169145962854415</c:v>
                </c:pt>
                <c:pt idx="64">
                  <c:v>20.902814970937509</c:v>
                </c:pt>
                <c:pt idx="65">
                  <c:v>21.201353900188131</c:v>
                </c:pt>
                <c:pt idx="66">
                  <c:v>21.654641835494463</c:v>
                </c:pt>
                <c:pt idx="67">
                  <c:v>22.114549359243931</c:v>
                </c:pt>
                <c:pt idx="68">
                  <c:v>22.738142353790082</c:v>
                </c:pt>
                <c:pt idx="69">
                  <c:v>23.534486021826762</c:v>
                </c:pt>
                <c:pt idx="70">
                  <c:v>24.185186347001125</c:v>
                </c:pt>
                <c:pt idx="71">
                  <c:v>25.184221686379544</c:v>
                </c:pt>
                <c:pt idx="72">
                  <c:v>25.865740130980324</c:v>
                </c:pt>
                <c:pt idx="73">
                  <c:v>26.559791804076294</c:v>
                </c:pt>
                <c:pt idx="74">
                  <c:v>27.088626295972347</c:v>
                </c:pt>
                <c:pt idx="75">
                  <c:v>27.624626593054536</c:v>
                </c:pt>
                <c:pt idx="76">
                  <c:v>28.350526289200054</c:v>
                </c:pt>
                <c:pt idx="77">
                  <c:v>29.463684846836468</c:v>
                </c:pt>
                <c:pt idx="78">
                  <c:v>30.799712685889578</c:v>
                </c:pt>
                <c:pt idx="79">
                  <c:v>31.977341827692289</c:v>
                </c:pt>
                <c:pt idx="80">
                  <c:v>33.389673183974679</c:v>
                </c:pt>
                <c:pt idx="81">
                  <c:v>34.633637771147008</c:v>
                </c:pt>
                <c:pt idx="82">
                  <c:v>36.124448316062626</c:v>
                </c:pt>
                <c:pt idx="83">
                  <c:v>37.658418051297119</c:v>
                </c:pt>
                <c:pt idx="84">
                  <c:v>39.695097630230485</c:v>
                </c:pt>
                <c:pt idx="85">
                  <c:v>41.567333133771648</c:v>
                </c:pt>
                <c:pt idx="86">
                  <c:v>43.254066287661487</c:v>
                </c:pt>
                <c:pt idx="87">
                  <c:v>44.736388334599717</c:v>
                </c:pt>
                <c:pt idx="88">
                  <c:v>45.743555451165669</c:v>
                </c:pt>
                <c:pt idx="89">
                  <c:v>47.283029012103356</c:v>
                </c:pt>
                <c:pt idx="90">
                  <c:v>49.123118728558438</c:v>
                </c:pt>
                <c:pt idx="91">
                  <c:v>51.559604700955283</c:v>
                </c:pt>
                <c:pt idx="92">
                  <c:v>52.94800543225265</c:v>
                </c:pt>
                <c:pt idx="93">
                  <c:v>55.221846931697293</c:v>
                </c:pt>
                <c:pt idx="94">
                  <c:v>57.560471766102395</c:v>
                </c:pt>
                <c:pt idx="95">
                  <c:v>59.66154231557249</c:v>
                </c:pt>
                <c:pt idx="96">
                  <c:v>61.813972500880659</c:v>
                </c:pt>
                <c:pt idx="97">
                  <c:v>64.337591272656908</c:v>
                </c:pt>
                <c:pt idx="98">
                  <c:v>66.930057566840929</c:v>
                </c:pt>
                <c:pt idx="99">
                  <c:v>69.930048886854166</c:v>
                </c:pt>
                <c:pt idx="100">
                  <c:v>72.671942659296477</c:v>
                </c:pt>
                <c:pt idx="101">
                  <c:v>75.129957845537163</c:v>
                </c:pt>
                <c:pt idx="102">
                  <c:v>78.372042142915561</c:v>
                </c:pt>
                <c:pt idx="103">
                  <c:v>80.585150493197119</c:v>
                </c:pt>
                <c:pt idx="104">
                  <c:v>83.601112416282987</c:v>
                </c:pt>
                <c:pt idx="105">
                  <c:v>86.301833838276949</c:v>
                </c:pt>
                <c:pt idx="106">
                  <c:v>89.459795443439106</c:v>
                </c:pt>
                <c:pt idx="107">
                  <c:v>92.286214889219863</c:v>
                </c:pt>
                <c:pt idx="108">
                  <c:v>94.341569768222286</c:v>
                </c:pt>
                <c:pt idx="109">
                  <c:v>95.589486580961278</c:v>
                </c:pt>
                <c:pt idx="110">
                  <c:v>97.694013800935238</c:v>
                </c:pt>
                <c:pt idx="111">
                  <c:v>100.69253644011636</c:v>
                </c:pt>
                <c:pt idx="112">
                  <c:v>102.43352849199758</c:v>
                </c:pt>
                <c:pt idx="113">
                  <c:v>105.08289814246726</c:v>
                </c:pt>
                <c:pt idx="114">
                  <c:v>108.68672122087612</c:v>
                </c:pt>
                <c:pt idx="115">
                  <c:v>112.83954298761974</c:v>
                </c:pt>
                <c:pt idx="116">
                  <c:v>116.14245919965704</c:v>
                </c:pt>
                <c:pt idx="117">
                  <c:v>120.4839540177486</c:v>
                </c:pt>
                <c:pt idx="118">
                  <c:v>123.93526378218701</c:v>
                </c:pt>
                <c:pt idx="119">
                  <c:v>127.45253206632164</c:v>
                </c:pt>
                <c:pt idx="120">
                  <c:v>131.03638968612171</c:v>
                </c:pt>
                <c:pt idx="121">
                  <c:v>135.74306737102603</c:v>
                </c:pt>
                <c:pt idx="122">
                  <c:v>141.10466470766005</c:v>
                </c:pt>
                <c:pt idx="123">
                  <c:v>144.94137700382512</c:v>
                </c:pt>
                <c:pt idx="124">
                  <c:v>148.84765248236758</c:v>
                </c:pt>
                <c:pt idx="125">
                  <c:v>153.3979559319697</c:v>
                </c:pt>
                <c:pt idx="126">
                  <c:v>158.62780833695538</c:v>
                </c:pt>
                <c:pt idx="127">
                  <c:v>162.18016464477938</c:v>
                </c:pt>
                <c:pt idx="128">
                  <c:v>166.99929887284904</c:v>
                </c:pt>
                <c:pt idx="129">
                  <c:v>171.29421015069772</c:v>
                </c:pt>
                <c:pt idx="130">
                  <c:v>175.03413302502656</c:v>
                </c:pt>
                <c:pt idx="131">
                  <c:v>178.82854015614402</c:v>
                </c:pt>
                <c:pt idx="132">
                  <c:v>182.67782879259059</c:v>
                </c:pt>
                <c:pt idx="133">
                  <c:v>187.2385596311417</c:v>
                </c:pt>
                <c:pt idx="134">
                  <c:v>190.54263957563165</c:v>
                </c:pt>
                <c:pt idx="135">
                  <c:v>195.91025781654065</c:v>
                </c:pt>
                <c:pt idx="136">
                  <c:v>199.3160593003411</c:v>
                </c:pt>
                <c:pt idx="137">
                  <c:v>204.15065582165036</c:v>
                </c:pt>
                <c:pt idx="138">
                  <c:v>209.77160812571859</c:v>
                </c:pt>
                <c:pt idx="139">
                  <c:v>213.33564906974155</c:v>
                </c:pt>
                <c:pt idx="140">
                  <c:v>218.39511089007632</c:v>
                </c:pt>
                <c:pt idx="141">
                  <c:v>224.27525884518664</c:v>
                </c:pt>
                <c:pt idx="142">
                  <c:v>229.50676400503528</c:v>
                </c:pt>
                <c:pt idx="143">
                  <c:v>234.81954733889467</c:v>
                </c:pt>
                <c:pt idx="144">
                  <c:v>240.21423966273343</c:v>
                </c:pt>
                <c:pt idx="145">
                  <c:v>245.6914717925213</c:v>
                </c:pt>
                <c:pt idx="146">
                  <c:v>250.45241530661352</c:v>
                </c:pt>
                <c:pt idx="147">
                  <c:v>256.89607873382016</c:v>
                </c:pt>
                <c:pt idx="148">
                  <c:v>263.45002102320643</c:v>
                </c:pt>
                <c:pt idx="149">
                  <c:v>269.27592389878021</c:v>
                </c:pt>
                <c:pt idx="150">
                  <c:v>275.1876107767161</c:v>
                </c:pt>
                <c:pt idx="151">
                  <c:v>282.04967519703433</c:v>
                </c:pt>
                <c:pt idx="152">
                  <c:v>289.02554957766898</c:v>
                </c:pt>
                <c:pt idx="153">
                  <c:v>296.11617554478954</c:v>
                </c:pt>
                <c:pt idx="154">
                  <c:v>304.23146619844994</c:v>
                </c:pt>
                <c:pt idx="155">
                  <c:v>311.56906577999496</c:v>
                </c:pt>
                <c:pt idx="156">
                  <c:v>318.08597922676472</c:v>
                </c:pt>
                <c:pt idx="157">
                  <c:v>326.59828907405426</c:v>
                </c:pt>
                <c:pt idx="158">
                  <c:v>332.35715741933149</c:v>
                </c:pt>
                <c:pt idx="159">
                  <c:v>339.16137919918964</c:v>
                </c:pt>
                <c:pt idx="160">
                  <c:v>346.05832395707051</c:v>
                </c:pt>
                <c:pt idx="161">
                  <c:v>352.04426898321969</c:v>
                </c:pt>
                <c:pt idx="162">
                  <c:v>359.11508715081629</c:v>
                </c:pt>
                <c:pt idx="163">
                  <c:v>366.28043062777601</c:v>
                </c:pt>
                <c:pt idx="164">
                  <c:v>373.54093023006828</c:v>
                </c:pt>
                <c:pt idx="165">
                  <c:v>380.8972167736618</c:v>
                </c:pt>
                <c:pt idx="166">
                  <c:v>390.49706282192972</c:v>
                </c:pt>
                <c:pt idx="167">
                  <c:v>396.98616918828463</c:v>
                </c:pt>
                <c:pt idx="168">
                  <c:v>405.75011624836293</c:v>
                </c:pt>
                <c:pt idx="169">
                  <c:v>416.886061225341</c:v>
                </c:pt>
                <c:pt idx="170">
                  <c:v>430.5171058504414</c:v>
                </c:pt>
                <c:pt idx="171">
                  <c:v>439.76831031729324</c:v>
                </c:pt>
                <c:pt idx="172">
                  <c:v>446.79339983109952</c:v>
                </c:pt>
                <c:pt idx="173">
                  <c:v>450.33394868994418</c:v>
                </c:pt>
                <c:pt idx="174">
                  <c:v>455.08383336553192</c:v>
                </c:pt>
                <c:pt idx="175">
                  <c:v>459.86714349440797</c:v>
                </c:pt>
                <c:pt idx="176">
                  <c:v>463.47663235065909</c:v>
                </c:pt>
                <c:pt idx="177">
                  <c:v>470.75241276412555</c:v>
                </c:pt>
                <c:pt idx="178">
                  <c:v>478.10426115266046</c:v>
                </c:pt>
                <c:pt idx="179">
                  <c:v>484.28919555259967</c:v>
                </c:pt>
                <c:pt idx="180">
                  <c:v>490.52746069146895</c:v>
                </c:pt>
                <c:pt idx="181">
                  <c:v>499.35106523632834</c:v>
                </c:pt>
                <c:pt idx="182">
                  <c:v>505.71826209657246</c:v>
                </c:pt>
                <c:pt idx="183">
                  <c:v>513.43034687724003</c:v>
                </c:pt>
                <c:pt idx="184">
                  <c:v>521.22075070803839</c:v>
                </c:pt>
                <c:pt idx="185">
                  <c:v>529.08750015440262</c:v>
                </c:pt>
                <c:pt idx="186">
                  <c:v>538.36813118332793</c:v>
                </c:pt>
                <c:pt idx="187">
                  <c:v>545.06343063520887</c:v>
                </c:pt>
                <c:pt idx="188">
                  <c:v>555.89142795076782</c:v>
                </c:pt>
                <c:pt idx="189">
                  <c:v>562.73148377048949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4F-4252-A778-F01BEF10C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9614720"/>
        <c:axId val="654594944"/>
      </c:scatterChart>
      <c:valAx>
        <c:axId val="1059614720"/>
        <c:scaling>
          <c:orientation val="minMax"/>
          <c:max val="3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Vehicle</a:t>
                </a:r>
                <a:r>
                  <a:rPr lang="en-GB" baseline="0"/>
                  <a:t> Speed [km/h]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594944"/>
        <c:crosses val="autoZero"/>
        <c:crossBetween val="midCat"/>
      </c:valAx>
      <c:valAx>
        <c:axId val="6545949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 [HP]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9614720"/>
        <c:crosses val="autoZero"/>
        <c:crossBetween val="midCat"/>
        <c:majorUnit val="100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Gear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Acceleration!$F$13:$F$202</c:f>
              <c:numCache>
                <c:formatCode>0.00</c:formatCode>
                <c:ptCount val="190"/>
                <c:pt idx="0">
                  <c:v>6.8807404563526875</c:v>
                </c:pt>
                <c:pt idx="1">
                  <c:v>6.9572236969310985</c:v>
                </c:pt>
                <c:pt idx="2">
                  <c:v>7.1101901780879189</c:v>
                </c:pt>
                <c:pt idx="3">
                  <c:v>7.2249150389555359</c:v>
                </c:pt>
                <c:pt idx="4">
                  <c:v>7.3778815201123562</c:v>
                </c:pt>
                <c:pt idx="5">
                  <c:v>7.4926063809799714</c:v>
                </c:pt>
                <c:pt idx="6">
                  <c:v>7.6073312418475876</c:v>
                </c:pt>
                <c:pt idx="7">
                  <c:v>7.7602977230044079</c:v>
                </c:pt>
                <c:pt idx="8">
                  <c:v>7.9132642041612282</c:v>
                </c:pt>
                <c:pt idx="9">
                  <c:v>8.0279890650288461</c:v>
                </c:pt>
                <c:pt idx="10">
                  <c:v>8.1427139258964623</c:v>
                </c:pt>
                <c:pt idx="11">
                  <c:v>8.2956804070532808</c:v>
                </c:pt>
                <c:pt idx="12">
                  <c:v>8.4104052679208987</c:v>
                </c:pt>
                <c:pt idx="13">
                  <c:v>8.5251301287885131</c:v>
                </c:pt>
                <c:pt idx="14">
                  <c:v>8.6780966099453352</c:v>
                </c:pt>
                <c:pt idx="15">
                  <c:v>8.7928214708129513</c:v>
                </c:pt>
                <c:pt idx="16">
                  <c:v>8.9840295722589776</c:v>
                </c:pt>
                <c:pt idx="17">
                  <c:v>9.1752376737050039</c:v>
                </c:pt>
                <c:pt idx="18">
                  <c:v>9.3664457751510302</c:v>
                </c:pt>
                <c:pt idx="19">
                  <c:v>9.5193434764152443</c:v>
                </c:pt>
                <c:pt idx="20">
                  <c:v>9.6723099575720646</c:v>
                </c:pt>
                <c:pt idx="21">
                  <c:v>9.7870348184396825</c:v>
                </c:pt>
                <c:pt idx="22">
                  <c:v>9.9400012995965028</c:v>
                </c:pt>
                <c:pt idx="23">
                  <c:v>10.054726160464117</c:v>
                </c:pt>
                <c:pt idx="24">
                  <c:v>10.207692641620937</c:v>
                </c:pt>
                <c:pt idx="25">
                  <c:v>10.322417502488555</c:v>
                </c:pt>
                <c:pt idx="26">
                  <c:v>10.398900743066966</c:v>
                </c:pt>
                <c:pt idx="27">
                  <c:v>10.551867224223788</c:v>
                </c:pt>
                <c:pt idx="28">
                  <c:v>10.6665920850914</c:v>
                </c:pt>
                <c:pt idx="29">
                  <c:v>10.781316945959018</c:v>
                </c:pt>
                <c:pt idx="30">
                  <c:v>10.896041806826634</c:v>
                </c:pt>
                <c:pt idx="31">
                  <c:v>11.049008287983455</c:v>
                </c:pt>
                <c:pt idx="32">
                  <c:v>11.163733148851069</c:v>
                </c:pt>
                <c:pt idx="33">
                  <c:v>11.278458009718685</c:v>
                </c:pt>
                <c:pt idx="34">
                  <c:v>11.469666111164713</c:v>
                </c:pt>
                <c:pt idx="35">
                  <c:v>11.660874212610741</c:v>
                </c:pt>
                <c:pt idx="36">
                  <c:v>11.813840693767562</c:v>
                </c:pt>
                <c:pt idx="37">
                  <c:v>11.96680717492438</c:v>
                </c:pt>
                <c:pt idx="38">
                  <c:v>12.119773656081202</c:v>
                </c:pt>
                <c:pt idx="39">
                  <c:v>12.234498516948817</c:v>
                </c:pt>
                <c:pt idx="40">
                  <c:v>12.349223377816434</c:v>
                </c:pt>
                <c:pt idx="41">
                  <c:v>12.425706618394843</c:v>
                </c:pt>
                <c:pt idx="42">
                  <c:v>12.502189858973255</c:v>
                </c:pt>
                <c:pt idx="43">
                  <c:v>12.578673099551665</c:v>
                </c:pt>
                <c:pt idx="44">
                  <c:v>12.693397960419279</c:v>
                </c:pt>
                <c:pt idx="45">
                  <c:v>12.731639580708485</c:v>
                </c:pt>
                <c:pt idx="46">
                  <c:v>12.846364441576101</c:v>
                </c:pt>
                <c:pt idx="47">
                  <c:v>12.999330922732922</c:v>
                </c:pt>
                <c:pt idx="48">
                  <c:v>13.11405578360054</c:v>
                </c:pt>
                <c:pt idx="49">
                  <c:v>13.228780644468154</c:v>
                </c:pt>
                <c:pt idx="50">
                  <c:v>13.381747125624976</c:v>
                </c:pt>
                <c:pt idx="51">
                  <c:v>13.458230366203386</c:v>
                </c:pt>
                <c:pt idx="52">
                  <c:v>13.572955227071002</c:v>
                </c:pt>
                <c:pt idx="53">
                  <c:v>13.649438467649412</c:v>
                </c:pt>
                <c:pt idx="54">
                  <c:v>13.764163328517029</c:v>
                </c:pt>
                <c:pt idx="55">
                  <c:v>13.878888189384641</c:v>
                </c:pt>
                <c:pt idx="56">
                  <c:v>13.993613050252259</c:v>
                </c:pt>
                <c:pt idx="57">
                  <c:v>14.108337911119875</c:v>
                </c:pt>
                <c:pt idx="58">
                  <c:v>14.223062771987491</c:v>
                </c:pt>
                <c:pt idx="59">
                  <c:v>14.337787632855107</c:v>
                </c:pt>
                <c:pt idx="60">
                  <c:v>14.490754114011926</c:v>
                </c:pt>
                <c:pt idx="61">
                  <c:v>14.605478974879544</c:v>
                </c:pt>
                <c:pt idx="62">
                  <c:v>14.758445456036364</c:v>
                </c:pt>
                <c:pt idx="63">
                  <c:v>14.911411937193186</c:v>
                </c:pt>
                <c:pt idx="64">
                  <c:v>15.102620038639214</c:v>
                </c:pt>
                <c:pt idx="65">
                  <c:v>15.179103279217623</c:v>
                </c:pt>
                <c:pt idx="66">
                  <c:v>15.293828140085239</c:v>
                </c:pt>
                <c:pt idx="67">
                  <c:v>15.408553000952855</c:v>
                </c:pt>
                <c:pt idx="68">
                  <c:v>15.561519482109677</c:v>
                </c:pt>
                <c:pt idx="69">
                  <c:v>15.752727583555702</c:v>
                </c:pt>
                <c:pt idx="70">
                  <c:v>15.905694064712524</c:v>
                </c:pt>
                <c:pt idx="71">
                  <c:v>16.135143786447752</c:v>
                </c:pt>
                <c:pt idx="72">
                  <c:v>16.288110267604576</c:v>
                </c:pt>
                <c:pt idx="73">
                  <c:v>16.441076748761393</c:v>
                </c:pt>
                <c:pt idx="74">
                  <c:v>16.555801609629015</c:v>
                </c:pt>
                <c:pt idx="75">
                  <c:v>16.670526470496629</c:v>
                </c:pt>
                <c:pt idx="76">
                  <c:v>16.823492951653449</c:v>
                </c:pt>
                <c:pt idx="77">
                  <c:v>17.052942673388678</c:v>
                </c:pt>
                <c:pt idx="78">
                  <c:v>17.320634015413116</c:v>
                </c:pt>
                <c:pt idx="79">
                  <c:v>17.550083737148348</c:v>
                </c:pt>
                <c:pt idx="80">
                  <c:v>17.817775079172787</c:v>
                </c:pt>
                <c:pt idx="81">
                  <c:v>18.047224800908015</c:v>
                </c:pt>
                <c:pt idx="82">
                  <c:v>18.314916142932454</c:v>
                </c:pt>
                <c:pt idx="83">
                  <c:v>18.582607484956895</c:v>
                </c:pt>
                <c:pt idx="84">
                  <c:v>18.926782067559738</c:v>
                </c:pt>
                <c:pt idx="85">
                  <c:v>19.232715029873379</c:v>
                </c:pt>
                <c:pt idx="86">
                  <c:v>19.500406371897821</c:v>
                </c:pt>
                <c:pt idx="87">
                  <c:v>19.72985609363305</c:v>
                </c:pt>
                <c:pt idx="88">
                  <c:v>19.882822574789866</c:v>
                </c:pt>
                <c:pt idx="89">
                  <c:v>20.112272296525102</c:v>
                </c:pt>
                <c:pt idx="90">
                  <c:v>20.37996363854954</c:v>
                </c:pt>
                <c:pt idx="91">
                  <c:v>20.724138221152387</c:v>
                </c:pt>
                <c:pt idx="92">
                  <c:v>20.915346322598413</c:v>
                </c:pt>
                <c:pt idx="93">
                  <c:v>21.221279284912054</c:v>
                </c:pt>
                <c:pt idx="94">
                  <c:v>21.527143467333087</c:v>
                </c:pt>
                <c:pt idx="95">
                  <c:v>21.794834809357528</c:v>
                </c:pt>
                <c:pt idx="96">
                  <c:v>22.062526151381963</c:v>
                </c:pt>
                <c:pt idx="97">
                  <c:v>22.368459113695604</c:v>
                </c:pt>
                <c:pt idx="98">
                  <c:v>22.674392076009244</c:v>
                </c:pt>
                <c:pt idx="99">
                  <c:v>23.018566658612091</c:v>
                </c:pt>
                <c:pt idx="100">
                  <c:v>23.324499620925735</c:v>
                </c:pt>
                <c:pt idx="101">
                  <c:v>23.59219096295017</c:v>
                </c:pt>
                <c:pt idx="102">
                  <c:v>23.93636554555302</c:v>
                </c:pt>
                <c:pt idx="103">
                  <c:v>24.165815267288252</c:v>
                </c:pt>
                <c:pt idx="104">
                  <c:v>24.471748229601893</c:v>
                </c:pt>
                <c:pt idx="105">
                  <c:v>24.739439571626331</c:v>
                </c:pt>
                <c:pt idx="106">
                  <c:v>25.045372533939972</c:v>
                </c:pt>
                <c:pt idx="107">
                  <c:v>25.31306387596441</c:v>
                </c:pt>
                <c:pt idx="108">
                  <c:v>25.504271977410436</c:v>
                </c:pt>
                <c:pt idx="109">
                  <c:v>25.618996838278051</c:v>
                </c:pt>
                <c:pt idx="110">
                  <c:v>25.810204939724077</c:v>
                </c:pt>
                <c:pt idx="111">
                  <c:v>26.077896281748515</c:v>
                </c:pt>
                <c:pt idx="112">
                  <c:v>26.230862762905335</c:v>
                </c:pt>
                <c:pt idx="113">
                  <c:v>26.460312484640568</c:v>
                </c:pt>
                <c:pt idx="114">
                  <c:v>26.766245446954208</c:v>
                </c:pt>
                <c:pt idx="115">
                  <c:v>27.110420029557059</c:v>
                </c:pt>
                <c:pt idx="116">
                  <c:v>27.378111371581497</c:v>
                </c:pt>
                <c:pt idx="117">
                  <c:v>27.722285954184343</c:v>
                </c:pt>
                <c:pt idx="118">
                  <c:v>27.989977296208778</c:v>
                </c:pt>
                <c:pt idx="119">
                  <c:v>28.257668638233216</c:v>
                </c:pt>
                <c:pt idx="120">
                  <c:v>28.525359980257655</c:v>
                </c:pt>
                <c:pt idx="121">
                  <c:v>28.869534562860501</c:v>
                </c:pt>
                <c:pt idx="122">
                  <c:v>29.25195076575255</c:v>
                </c:pt>
                <c:pt idx="123">
                  <c:v>29.519642107776985</c:v>
                </c:pt>
                <c:pt idx="124">
                  <c:v>29.787333449801427</c:v>
                </c:pt>
                <c:pt idx="125">
                  <c:v>30.093266412115071</c:v>
                </c:pt>
                <c:pt idx="126">
                  <c:v>30.43744099471791</c:v>
                </c:pt>
                <c:pt idx="127">
                  <c:v>30.666890716453143</c:v>
                </c:pt>
                <c:pt idx="128">
                  <c:v>30.972823678766794</c:v>
                </c:pt>
                <c:pt idx="129">
                  <c:v>31.240515020791229</c:v>
                </c:pt>
                <c:pt idx="130">
                  <c:v>31.469964742526454</c:v>
                </c:pt>
                <c:pt idx="131">
                  <c:v>31.699414464261693</c:v>
                </c:pt>
                <c:pt idx="132">
                  <c:v>31.928864185996922</c:v>
                </c:pt>
                <c:pt idx="133">
                  <c:v>32.196555528021356</c:v>
                </c:pt>
                <c:pt idx="134">
                  <c:v>32.387763629467386</c:v>
                </c:pt>
                <c:pt idx="135">
                  <c:v>32.693696591781034</c:v>
                </c:pt>
                <c:pt idx="136">
                  <c:v>32.88490469322705</c:v>
                </c:pt>
                <c:pt idx="137">
                  <c:v>33.152596035251491</c:v>
                </c:pt>
                <c:pt idx="138">
                  <c:v>33.458528997565132</c:v>
                </c:pt>
                <c:pt idx="139">
                  <c:v>33.649668319118547</c:v>
                </c:pt>
                <c:pt idx="140">
                  <c:v>33.917359661142982</c:v>
                </c:pt>
                <c:pt idx="141">
                  <c:v>34.223292623456636</c:v>
                </c:pt>
                <c:pt idx="142">
                  <c:v>34.490983965481064</c:v>
                </c:pt>
                <c:pt idx="143">
                  <c:v>34.758675307505499</c:v>
                </c:pt>
                <c:pt idx="144">
                  <c:v>35.026366649529933</c:v>
                </c:pt>
                <c:pt idx="145">
                  <c:v>35.294057991554382</c:v>
                </c:pt>
                <c:pt idx="146">
                  <c:v>35.523507713289611</c:v>
                </c:pt>
                <c:pt idx="147">
                  <c:v>35.829440675603252</c:v>
                </c:pt>
                <c:pt idx="148">
                  <c:v>36.135373637916892</c:v>
                </c:pt>
                <c:pt idx="149">
                  <c:v>36.403064979941327</c:v>
                </c:pt>
                <c:pt idx="150">
                  <c:v>36.670756321965762</c:v>
                </c:pt>
                <c:pt idx="151">
                  <c:v>36.976689284279409</c:v>
                </c:pt>
                <c:pt idx="152">
                  <c:v>37.282622246593043</c:v>
                </c:pt>
                <c:pt idx="153">
                  <c:v>37.588555208906691</c:v>
                </c:pt>
                <c:pt idx="154">
                  <c:v>37.932729791509544</c:v>
                </c:pt>
                <c:pt idx="155">
                  <c:v>38.238662753823178</c:v>
                </c:pt>
                <c:pt idx="156">
                  <c:v>38.506354095847612</c:v>
                </c:pt>
                <c:pt idx="157">
                  <c:v>38.850528678450466</c:v>
                </c:pt>
                <c:pt idx="158">
                  <c:v>39.079978400185695</c:v>
                </c:pt>
                <c:pt idx="159">
                  <c:v>39.347669742210144</c:v>
                </c:pt>
                <c:pt idx="160">
                  <c:v>39.615361084234571</c:v>
                </c:pt>
                <c:pt idx="161">
                  <c:v>39.8448108059698</c:v>
                </c:pt>
                <c:pt idx="162">
                  <c:v>40.112502147994242</c:v>
                </c:pt>
                <c:pt idx="163">
                  <c:v>40.380193490018677</c:v>
                </c:pt>
                <c:pt idx="164">
                  <c:v>40.647884832043111</c:v>
                </c:pt>
                <c:pt idx="165">
                  <c:v>40.915576174067553</c:v>
                </c:pt>
                <c:pt idx="166">
                  <c:v>41.259750756670392</c:v>
                </c:pt>
                <c:pt idx="167">
                  <c:v>41.489200478405635</c:v>
                </c:pt>
                <c:pt idx="168">
                  <c:v>41.795133440719269</c:v>
                </c:pt>
                <c:pt idx="169">
                  <c:v>42.177549643611329</c:v>
                </c:pt>
                <c:pt idx="170">
                  <c:v>42.636449087081793</c:v>
                </c:pt>
                <c:pt idx="171">
                  <c:v>42.942382049395427</c:v>
                </c:pt>
                <c:pt idx="172">
                  <c:v>43.171831771130663</c:v>
                </c:pt>
                <c:pt idx="173">
                  <c:v>43.286556631998273</c:v>
                </c:pt>
                <c:pt idx="174">
                  <c:v>43.439523113155097</c:v>
                </c:pt>
                <c:pt idx="175">
                  <c:v>43.592489594311921</c:v>
                </c:pt>
                <c:pt idx="176">
                  <c:v>43.707214455179532</c:v>
                </c:pt>
                <c:pt idx="177">
                  <c:v>43.936664176914768</c:v>
                </c:pt>
                <c:pt idx="178">
                  <c:v>44.166113898649996</c:v>
                </c:pt>
                <c:pt idx="179">
                  <c:v>44.357322000096026</c:v>
                </c:pt>
                <c:pt idx="180">
                  <c:v>44.548530101542056</c:v>
                </c:pt>
                <c:pt idx="181">
                  <c:v>44.816221443566491</c:v>
                </c:pt>
                <c:pt idx="182">
                  <c:v>45.007429545012513</c:v>
                </c:pt>
                <c:pt idx="183">
                  <c:v>45.236879266747749</c:v>
                </c:pt>
                <c:pt idx="184">
                  <c:v>45.466328988482978</c:v>
                </c:pt>
                <c:pt idx="185">
                  <c:v>45.695709930325606</c:v>
                </c:pt>
                <c:pt idx="186">
                  <c:v>45.96340127235004</c:v>
                </c:pt>
                <c:pt idx="187">
                  <c:v>46.154609373796056</c:v>
                </c:pt>
                <c:pt idx="188">
                  <c:v>46.460542336109704</c:v>
                </c:pt>
                <c:pt idx="189">
                  <c:v>46.651750437555741</c:v>
                </c:pt>
              </c:numCache>
            </c:numRef>
          </c:xVal>
          <c:yVal>
            <c:numRef>
              <c:f>Acceleration!$H$13:$H$202</c:f>
              <c:numCache>
                <c:formatCode>0.00000</c:formatCode>
                <c:ptCount val="190"/>
                <c:pt idx="0">
                  <c:v>5.3231961208249468</c:v>
                </c:pt>
                <c:pt idx="1">
                  <c:v>5.4531566619568483</c:v>
                </c:pt>
                <c:pt idx="2">
                  <c:v>5.6123682242093471</c:v>
                </c:pt>
                <c:pt idx="3">
                  <c:v>5.7046439770844186</c:v>
                </c:pt>
                <c:pt idx="4">
                  <c:v>5.8528610796764227</c:v>
                </c:pt>
                <c:pt idx="5">
                  <c:v>5.938142880977054</c:v>
                </c:pt>
                <c:pt idx="6">
                  <c:v>6.0208631089298335</c:v>
                </c:pt>
                <c:pt idx="7">
                  <c:v>6.1555379384692683</c:v>
                </c:pt>
                <c:pt idx="8">
                  <c:v>6.2850040126722897</c:v>
                </c:pt>
                <c:pt idx="9">
                  <c:v>6.3584286212710746</c:v>
                </c:pt>
                <c:pt idx="10">
                  <c:v>6.4297719470398524</c:v>
                </c:pt>
                <c:pt idx="11">
                  <c:v>6.5482079492006262</c:v>
                </c:pt>
                <c:pt idx="12">
                  <c:v>6.6927582690233534</c:v>
                </c:pt>
                <c:pt idx="13">
                  <c:v>6.7563982124566717</c:v>
                </c:pt>
                <c:pt idx="14">
                  <c:v>6.7882018351669693</c:v>
                </c:pt>
                <c:pt idx="15">
                  <c:v>6.9233301160625764</c:v>
                </c:pt>
                <c:pt idx="16">
                  <c:v>6.9947129067212757</c:v>
                </c:pt>
                <c:pt idx="17">
                  <c:v>7.1346689241961831</c:v>
                </c:pt>
                <c:pt idx="18">
                  <c:v>7.198816418789205</c:v>
                </c:pt>
                <c:pt idx="19">
                  <c:v>7.2897064146187374</c:v>
                </c:pt>
                <c:pt idx="20">
                  <c:v>7.3098028515290201</c:v>
                </c:pt>
                <c:pt idx="21">
                  <c:v>7.4250707177727104</c:v>
                </c:pt>
                <c:pt idx="22">
                  <c:v>7.5085767051263277</c:v>
                </c:pt>
                <c:pt idx="23">
                  <c:v>7.6185049413268047</c:v>
                </c:pt>
                <c:pt idx="24">
                  <c:v>7.696918629042826</c:v>
                </c:pt>
                <c:pt idx="25">
                  <c:v>7.8019000489078767</c:v>
                </c:pt>
                <c:pt idx="26">
                  <c:v>7.9337379463085682</c:v>
                </c:pt>
                <c:pt idx="27">
                  <c:v>8.0672362662450343</c:v>
                </c:pt>
                <c:pt idx="28">
                  <c:v>8.1648437586102567</c:v>
                </c:pt>
                <c:pt idx="29">
                  <c:v>8.321265491250422</c:v>
                </c:pt>
                <c:pt idx="30">
                  <c:v>8.4141239095182581</c:v>
                </c:pt>
                <c:pt idx="31">
                  <c:v>8.534949951048965</c:v>
                </c:pt>
                <c:pt idx="32">
                  <c:v>8.6821979490333856</c:v>
                </c:pt>
                <c:pt idx="33">
                  <c:v>8.7682644667910044</c:v>
                </c:pt>
                <c:pt idx="34">
                  <c:v>8.9079061122254792</c:v>
                </c:pt>
                <c:pt idx="35">
                  <c:v>9.0428875019537056</c:v>
                </c:pt>
                <c:pt idx="36">
                  <c:v>9.2032873726970177</c:v>
                </c:pt>
                <c:pt idx="37">
                  <c:v>9.30474668286368</c:v>
                </c:pt>
                <c:pt idx="38">
                  <c:v>9.4036427739799535</c:v>
                </c:pt>
                <c:pt idx="39">
                  <c:v>9.5299207029606876</c:v>
                </c:pt>
                <c:pt idx="40">
                  <c:v>9.6005653520724294</c:v>
                </c:pt>
                <c:pt idx="41">
                  <c:v>9.6998215757114394</c:v>
                </c:pt>
                <c:pt idx="42">
                  <c:v>9.7453733874065982</c:v>
                </c:pt>
                <c:pt idx="43">
                  <c:v>9.790298954920841</c:v>
                </c:pt>
                <c:pt idx="44">
                  <c:v>9.8050435248430361</c:v>
                </c:pt>
                <c:pt idx="45">
                  <c:v>9.930214475267519</c:v>
                </c:pt>
                <c:pt idx="46">
                  <c:v>9.9945452657798626</c:v>
                </c:pt>
                <c:pt idx="47">
                  <c:v>10.078690332105834</c:v>
                </c:pt>
                <c:pt idx="48">
                  <c:v>10.140406267234924</c:v>
                </c:pt>
                <c:pt idx="49">
                  <c:v>10.201118783901602</c:v>
                </c:pt>
                <c:pt idx="50">
                  <c:v>10.329531984244081</c:v>
                </c:pt>
                <c:pt idx="51">
                  <c:v>10.368195682357857</c:v>
                </c:pt>
                <c:pt idx="52">
                  <c:v>10.425439718954413</c:v>
                </c:pt>
                <c:pt idx="53">
                  <c:v>10.46302304879171</c:v>
                </c:pt>
                <c:pt idx="54">
                  <c:v>10.471002533140833</c:v>
                </c:pt>
                <c:pt idx="55">
                  <c:v>10.52613172508465</c:v>
                </c:pt>
                <c:pt idx="56">
                  <c:v>10.580355770797421</c:v>
                </c:pt>
                <c:pt idx="57">
                  <c:v>10.587118907751</c:v>
                </c:pt>
                <c:pt idx="58">
                  <c:v>10.63997386481646</c:v>
                </c:pt>
                <c:pt idx="59">
                  <c:v>10.646212283922106</c:v>
                </c:pt>
                <c:pt idx="60">
                  <c:v>10.714735660261633</c:v>
                </c:pt>
                <c:pt idx="61">
                  <c:v>10.765138503380117</c:v>
                </c:pt>
                <c:pt idx="62">
                  <c:v>10.786717702833956</c:v>
                </c:pt>
                <c:pt idx="63">
                  <c:v>10.851860814742539</c:v>
                </c:pt>
                <c:pt idx="64">
                  <c:v>10.844512847736775</c:v>
                </c:pt>
                <c:pt idx="65">
                  <c:v>10.919479041611508</c:v>
                </c:pt>
                <c:pt idx="66">
                  <c:v>10.966129391871354</c:v>
                </c:pt>
                <c:pt idx="67">
                  <c:v>10.969436390024132</c:v>
                </c:pt>
                <c:pt idx="68">
                  <c:v>10.987882750868105</c:v>
                </c:pt>
                <c:pt idx="69">
                  <c:v>11.062549866100289</c:v>
                </c:pt>
                <c:pt idx="70">
                  <c:v>11.120954554976914</c:v>
                </c:pt>
                <c:pt idx="71">
                  <c:v>11.125111162717747</c:v>
                </c:pt>
                <c:pt idx="72">
                  <c:v>11.181551761140359</c:v>
                </c:pt>
                <c:pt idx="73">
                  <c:v>11.197025734055586</c:v>
                </c:pt>
                <c:pt idx="74">
                  <c:v>11.23812950550075</c:v>
                </c:pt>
                <c:pt idx="75">
                  <c:v>11.278720471572017</c:v>
                </c:pt>
                <c:pt idx="76">
                  <c:v>11.292953882237866</c:v>
                </c:pt>
                <c:pt idx="77">
                  <c:v>11.294553689596873</c:v>
                </c:pt>
                <c:pt idx="78">
                  <c:v>11.271093571008425</c:v>
                </c:pt>
                <c:pt idx="79">
                  <c:v>11.310366992340391</c:v>
                </c:pt>
                <c:pt idx="80">
                  <c:v>11.287311828165155</c:v>
                </c:pt>
                <c:pt idx="81">
                  <c:v>11.28887485223513</c:v>
                </c:pt>
                <c:pt idx="82">
                  <c:v>11.302578112093325</c:v>
                </c:pt>
                <c:pt idx="83">
                  <c:v>11.315928613846172</c:v>
                </c:pt>
                <c:pt idx="84">
                  <c:v>11.282922407121019</c:v>
                </c:pt>
                <c:pt idx="85">
                  <c:v>11.273527375687983</c:v>
                </c:pt>
                <c:pt idx="86">
                  <c:v>11.286626297066267</c:v>
                </c:pt>
                <c:pt idx="87">
                  <c:v>11.288030029081158</c:v>
                </c:pt>
                <c:pt idx="88">
                  <c:v>11.299961981199989</c:v>
                </c:pt>
                <c:pt idx="89">
                  <c:v>11.30117889429745</c:v>
                </c:pt>
                <c:pt idx="90">
                  <c:v>11.281083925056427</c:v>
                </c:pt>
                <c:pt idx="91">
                  <c:v>11.251464713751808</c:v>
                </c:pt>
                <c:pt idx="92">
                  <c:v>11.30516903932555</c:v>
                </c:pt>
                <c:pt idx="93">
                  <c:v>11.296322996548763</c:v>
                </c:pt>
                <c:pt idx="94">
                  <c:v>11.287714116279616</c:v>
                </c:pt>
                <c:pt idx="95">
                  <c:v>11.299206369775161</c:v>
                </c:pt>
                <c:pt idx="96">
                  <c:v>11.280628043043601</c:v>
                </c:pt>
                <c:pt idx="97">
                  <c:v>11.301837006816886</c:v>
                </c:pt>
                <c:pt idx="98">
                  <c:v>11.293563323564683</c:v>
                </c:pt>
                <c:pt idx="99">
                  <c:v>11.295149921753174</c:v>
                </c:pt>
                <c:pt idx="100">
                  <c:v>11.315311474307819</c:v>
                </c:pt>
                <c:pt idx="101">
                  <c:v>11.297718571232732</c:v>
                </c:pt>
                <c:pt idx="102">
                  <c:v>11.299193863360918</c:v>
                </c:pt>
                <c:pt idx="103">
                  <c:v>11.300135577722896</c:v>
                </c:pt>
                <c:pt idx="104">
                  <c:v>11.319221246549866</c:v>
                </c:pt>
                <c:pt idx="105">
                  <c:v>11.302374297492555</c:v>
                </c:pt>
                <c:pt idx="106">
                  <c:v>11.321015594560745</c:v>
                </c:pt>
                <c:pt idx="107">
                  <c:v>11.330442164453654</c:v>
                </c:pt>
                <c:pt idx="108">
                  <c:v>11.322357325438704</c:v>
                </c:pt>
                <c:pt idx="109">
                  <c:v>11.322699849761545</c:v>
                </c:pt>
                <c:pt idx="110">
                  <c:v>11.3401881796163</c:v>
                </c:pt>
                <c:pt idx="111">
                  <c:v>11.323958573919537</c:v>
                </c:pt>
                <c:pt idx="112">
                  <c:v>11.332714746847481</c:v>
                </c:pt>
                <c:pt idx="113">
                  <c:v>11.333237773397405</c:v>
                </c:pt>
                <c:pt idx="114">
                  <c:v>11.350280977842102</c:v>
                </c:pt>
                <c:pt idx="115">
                  <c:v>11.350788509932267</c:v>
                </c:pt>
                <c:pt idx="116">
                  <c:v>11.335194762507815</c:v>
                </c:pt>
                <c:pt idx="117">
                  <c:v>11.335891816472227</c:v>
                </c:pt>
                <c:pt idx="118">
                  <c:v>11.32076651563554</c:v>
                </c:pt>
                <c:pt idx="119">
                  <c:v>11.352399543822315</c:v>
                </c:pt>
                <c:pt idx="120">
                  <c:v>11.314353248781211</c:v>
                </c:pt>
                <c:pt idx="121">
                  <c:v>11.337966499006408</c:v>
                </c:pt>
                <c:pt idx="122">
                  <c:v>11.323649846931353</c:v>
                </c:pt>
                <c:pt idx="123">
                  <c:v>11.331613015702917</c:v>
                </c:pt>
                <c:pt idx="124">
                  <c:v>11.339456796432055</c:v>
                </c:pt>
                <c:pt idx="125">
                  <c:v>11.332627470138917</c:v>
                </c:pt>
                <c:pt idx="126">
                  <c:v>11.333209320109949</c:v>
                </c:pt>
                <c:pt idx="127">
                  <c:v>11.333574121898243</c:v>
                </c:pt>
                <c:pt idx="128">
                  <c:v>11.34815982288112</c:v>
                </c:pt>
                <c:pt idx="129">
                  <c:v>11.334456147291897</c:v>
                </c:pt>
                <c:pt idx="130">
                  <c:v>11.355638474566033</c:v>
                </c:pt>
                <c:pt idx="131">
                  <c:v>11.35580757796976</c:v>
                </c:pt>
                <c:pt idx="132">
                  <c:v>11.355969418550774</c:v>
                </c:pt>
                <c:pt idx="133">
                  <c:v>11.342556480011218</c:v>
                </c:pt>
                <c:pt idx="134">
                  <c:v>11.376561423148663</c:v>
                </c:pt>
                <c:pt idx="135">
                  <c:v>11.349785644065069</c:v>
                </c:pt>
                <c:pt idx="136">
                  <c:v>11.363242882116671</c:v>
                </c:pt>
                <c:pt idx="137">
                  <c:v>11.369929108358534</c:v>
                </c:pt>
                <c:pt idx="138">
                  <c:v>11.343804756940473</c:v>
                </c:pt>
                <c:pt idx="139">
                  <c:v>11.337498218061542</c:v>
                </c:pt>
                <c:pt idx="140">
                  <c:v>11.305522229148364</c:v>
                </c:pt>
                <c:pt idx="141">
                  <c:v>11.280536121399413</c:v>
                </c:pt>
                <c:pt idx="142">
                  <c:v>11.249520000347088</c:v>
                </c:pt>
                <c:pt idx="143">
                  <c:v>11.218975041989131</c:v>
                </c:pt>
                <c:pt idx="144">
                  <c:v>11.207625797851961</c:v>
                </c:pt>
                <c:pt idx="145">
                  <c:v>11.177823258276469</c:v>
                </c:pt>
                <c:pt idx="146">
                  <c:v>11.160572982072587</c:v>
                </c:pt>
                <c:pt idx="147">
                  <c:v>11.137900387700643</c:v>
                </c:pt>
                <c:pt idx="148">
                  <c:v>11.097442710702852</c:v>
                </c:pt>
                <c:pt idx="149">
                  <c:v>11.069356199702129</c:v>
                </c:pt>
                <c:pt idx="150">
                  <c:v>11.059568439189842</c:v>
                </c:pt>
                <c:pt idx="151">
                  <c:v>11.038403157733201</c:v>
                </c:pt>
                <c:pt idx="152">
                  <c:v>10.999975066749831</c:v>
                </c:pt>
                <c:pt idx="153">
                  <c:v>10.979622248560485</c:v>
                </c:pt>
                <c:pt idx="154">
                  <c:v>10.96575447772258</c:v>
                </c:pt>
                <c:pt idx="155">
                  <c:v>10.946026918105996</c:v>
                </c:pt>
                <c:pt idx="156">
                  <c:v>10.937518921871456</c:v>
                </c:pt>
                <c:pt idx="157">
                  <c:v>10.907431793694506</c:v>
                </c:pt>
                <c:pt idx="158">
                  <c:v>10.89326713362671</c:v>
                </c:pt>
                <c:pt idx="159">
                  <c:v>10.868578705246055</c:v>
                </c:pt>
                <c:pt idx="160">
                  <c:v>10.86080525323535</c:v>
                </c:pt>
                <c:pt idx="161">
                  <c:v>10.847164968632267</c:v>
                </c:pt>
                <c:pt idx="162">
                  <c:v>10.823258760676476</c:v>
                </c:pt>
                <c:pt idx="163">
                  <c:v>10.783411570786154</c:v>
                </c:pt>
                <c:pt idx="164">
                  <c:v>10.744060429272849</c:v>
                </c:pt>
                <c:pt idx="165">
                  <c:v>10.705239679564878</c:v>
                </c:pt>
                <c:pt idx="166">
                  <c:v>10.662867953643252</c:v>
                </c:pt>
                <c:pt idx="167">
                  <c:v>10.619173174516485</c:v>
                </c:pt>
                <c:pt idx="168">
                  <c:v>10.587842477486058</c:v>
                </c:pt>
                <c:pt idx="169">
                  <c:v>10.537610326419889</c:v>
                </c:pt>
                <c:pt idx="170">
                  <c:v>10.469289867213751</c:v>
                </c:pt>
                <c:pt idx="171">
                  <c:v>10.439832109644199</c:v>
                </c:pt>
                <c:pt idx="172">
                  <c:v>10.39899083158488</c:v>
                </c:pt>
                <c:pt idx="173">
                  <c:v>10.386331696352176</c:v>
                </c:pt>
                <c:pt idx="174">
                  <c:v>10.334257238608558</c:v>
                </c:pt>
                <c:pt idx="175">
                  <c:v>10.282566791529286</c:v>
                </c:pt>
                <c:pt idx="176">
                  <c:v>10.255295703878161</c:v>
                </c:pt>
                <c:pt idx="177">
                  <c:v>10.171305367104948</c:v>
                </c:pt>
                <c:pt idx="178">
                  <c:v>10.103020730977356</c:v>
                </c:pt>
                <c:pt idx="179">
                  <c:v>10.058998305010027</c:v>
                </c:pt>
                <c:pt idx="180">
                  <c:v>9.9858889179534831</c:v>
                </c:pt>
                <c:pt idx="181">
                  <c:v>9.9109150077571027</c:v>
                </c:pt>
                <c:pt idx="182">
                  <c:v>9.8683332122658456</c:v>
                </c:pt>
                <c:pt idx="183">
                  <c:v>9.7886925859376976</c:v>
                </c:pt>
                <c:pt idx="184">
                  <c:v>9.7242843311197138</c:v>
                </c:pt>
                <c:pt idx="185">
                  <c:v>9.660513013542797</c:v>
                </c:pt>
                <c:pt idx="186">
                  <c:v>9.5750197229867187</c:v>
                </c:pt>
                <c:pt idx="187">
                  <c:v>9.5206497072561955</c:v>
                </c:pt>
                <c:pt idx="188">
                  <c:v>9.4289122923845792</c:v>
                </c:pt>
                <c:pt idx="189">
                  <c:v>9.3757117832135162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AE-4517-A40E-E97BFD73D680}"/>
            </c:ext>
          </c:extLst>
        </c:ser>
        <c:ser>
          <c:idx val="1"/>
          <c:order val="1"/>
          <c:tx>
            <c:v>Gear 2 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Acceleration!$J$13:$J$202</c:f>
              <c:numCache>
                <c:formatCode>0.00</c:formatCode>
                <c:ptCount val="190"/>
                <c:pt idx="0">
                  <c:v>10.421146734147303</c:v>
                </c:pt>
                <c:pt idx="1">
                  <c:v>10.536983551104237</c:v>
                </c:pt>
                <c:pt idx="2">
                  <c:v>10.768657185018109</c:v>
                </c:pt>
                <c:pt idx="3">
                  <c:v>10.94241241045351</c:v>
                </c:pt>
                <c:pt idx="4">
                  <c:v>11.174086044367384</c:v>
                </c:pt>
                <c:pt idx="5">
                  <c:v>11.347841269802784</c:v>
                </c:pt>
                <c:pt idx="6">
                  <c:v>11.521596495238187</c:v>
                </c:pt>
                <c:pt idx="7">
                  <c:v>11.753270129152058</c:v>
                </c:pt>
                <c:pt idx="8">
                  <c:v>11.984943763065928</c:v>
                </c:pt>
                <c:pt idx="9">
                  <c:v>12.158698988501332</c:v>
                </c:pt>
                <c:pt idx="10">
                  <c:v>12.332454213936735</c:v>
                </c:pt>
                <c:pt idx="11">
                  <c:v>12.564127847850605</c:v>
                </c:pt>
                <c:pt idx="12">
                  <c:v>12.737883073286007</c:v>
                </c:pt>
                <c:pt idx="13">
                  <c:v>12.91163829872141</c:v>
                </c:pt>
                <c:pt idx="14">
                  <c:v>13.143311932635282</c:v>
                </c:pt>
                <c:pt idx="15">
                  <c:v>13.317067158070683</c:v>
                </c:pt>
                <c:pt idx="16">
                  <c:v>13.606659200463023</c:v>
                </c:pt>
                <c:pt idx="17">
                  <c:v>13.89625124285536</c:v>
                </c:pt>
                <c:pt idx="18">
                  <c:v>14.185843285247698</c:v>
                </c:pt>
                <c:pt idx="19">
                  <c:v>14.417412749362148</c:v>
                </c:pt>
                <c:pt idx="20">
                  <c:v>14.649086383276018</c:v>
                </c:pt>
                <c:pt idx="21">
                  <c:v>14.822841608711421</c:v>
                </c:pt>
                <c:pt idx="22">
                  <c:v>15.054515242625293</c:v>
                </c:pt>
                <c:pt idx="23">
                  <c:v>15.228270468060693</c:v>
                </c:pt>
                <c:pt idx="24">
                  <c:v>15.459944101974562</c:v>
                </c:pt>
                <c:pt idx="25">
                  <c:v>15.633699327409969</c:v>
                </c:pt>
                <c:pt idx="26">
                  <c:v>15.749536144366903</c:v>
                </c:pt>
                <c:pt idx="27">
                  <c:v>15.981209778280773</c:v>
                </c:pt>
                <c:pt idx="28">
                  <c:v>16.154965003716175</c:v>
                </c:pt>
                <c:pt idx="29">
                  <c:v>16.328720229151578</c:v>
                </c:pt>
                <c:pt idx="30">
                  <c:v>16.502475454586985</c:v>
                </c:pt>
                <c:pt idx="31">
                  <c:v>16.73414908850085</c:v>
                </c:pt>
                <c:pt idx="32">
                  <c:v>16.907904313936253</c:v>
                </c:pt>
                <c:pt idx="33">
                  <c:v>17.081659539371657</c:v>
                </c:pt>
                <c:pt idx="34">
                  <c:v>17.371251581763996</c:v>
                </c:pt>
                <c:pt idx="35">
                  <c:v>17.660843624156335</c:v>
                </c:pt>
                <c:pt idx="36">
                  <c:v>17.892517258070207</c:v>
                </c:pt>
                <c:pt idx="37">
                  <c:v>18.124190891984075</c:v>
                </c:pt>
                <c:pt idx="38">
                  <c:v>18.355864525897942</c:v>
                </c:pt>
                <c:pt idx="39">
                  <c:v>18.529619751333346</c:v>
                </c:pt>
                <c:pt idx="40">
                  <c:v>18.70337497676875</c:v>
                </c:pt>
                <c:pt idx="41">
                  <c:v>18.819211793725685</c:v>
                </c:pt>
                <c:pt idx="42">
                  <c:v>18.935048610682621</c:v>
                </c:pt>
                <c:pt idx="43">
                  <c:v>19.050885427639557</c:v>
                </c:pt>
                <c:pt idx="44">
                  <c:v>19.224640653074957</c:v>
                </c:pt>
                <c:pt idx="45">
                  <c:v>19.282559061553425</c:v>
                </c:pt>
                <c:pt idx="46">
                  <c:v>19.456314286988828</c:v>
                </c:pt>
                <c:pt idx="47">
                  <c:v>19.687987920902703</c:v>
                </c:pt>
                <c:pt idx="48">
                  <c:v>19.861743146338103</c:v>
                </c:pt>
                <c:pt idx="49">
                  <c:v>20.035498371773507</c:v>
                </c:pt>
                <c:pt idx="50">
                  <c:v>20.267172005687378</c:v>
                </c:pt>
                <c:pt idx="51">
                  <c:v>20.38300882264431</c:v>
                </c:pt>
                <c:pt idx="52">
                  <c:v>20.556764048079717</c:v>
                </c:pt>
                <c:pt idx="53">
                  <c:v>20.672600865036646</c:v>
                </c:pt>
                <c:pt idx="54">
                  <c:v>20.846356090472053</c:v>
                </c:pt>
                <c:pt idx="55">
                  <c:v>21.02011131590745</c:v>
                </c:pt>
                <c:pt idx="56">
                  <c:v>21.193866541342857</c:v>
                </c:pt>
                <c:pt idx="57">
                  <c:v>21.36762176677826</c:v>
                </c:pt>
                <c:pt idx="58">
                  <c:v>21.54137699221366</c:v>
                </c:pt>
                <c:pt idx="59">
                  <c:v>21.715132217649067</c:v>
                </c:pt>
                <c:pt idx="60">
                  <c:v>21.946805851562935</c:v>
                </c:pt>
                <c:pt idx="61">
                  <c:v>22.120561076998342</c:v>
                </c:pt>
                <c:pt idx="62">
                  <c:v>22.35223471091221</c:v>
                </c:pt>
                <c:pt idx="63">
                  <c:v>22.583908344826082</c:v>
                </c:pt>
                <c:pt idx="64">
                  <c:v>22.873500387218417</c:v>
                </c:pt>
                <c:pt idx="65">
                  <c:v>22.989337204175349</c:v>
                </c:pt>
                <c:pt idx="66">
                  <c:v>23.163092429610757</c:v>
                </c:pt>
                <c:pt idx="67">
                  <c:v>23.33684765504616</c:v>
                </c:pt>
                <c:pt idx="68">
                  <c:v>23.568521288960035</c:v>
                </c:pt>
                <c:pt idx="69">
                  <c:v>23.858113331352364</c:v>
                </c:pt>
                <c:pt idx="70">
                  <c:v>24.089786965266239</c:v>
                </c:pt>
                <c:pt idx="71">
                  <c:v>24.437297416137046</c:v>
                </c:pt>
                <c:pt idx="72">
                  <c:v>24.668971050050917</c:v>
                </c:pt>
                <c:pt idx="73">
                  <c:v>24.900644683964785</c:v>
                </c:pt>
                <c:pt idx="74">
                  <c:v>25.074399909400189</c:v>
                </c:pt>
                <c:pt idx="75">
                  <c:v>25.248155134835592</c:v>
                </c:pt>
                <c:pt idx="76">
                  <c:v>25.479828768749456</c:v>
                </c:pt>
                <c:pt idx="77">
                  <c:v>25.827339219620264</c:v>
                </c:pt>
                <c:pt idx="78">
                  <c:v>26.232768078969542</c:v>
                </c:pt>
                <c:pt idx="79">
                  <c:v>26.580278529840346</c:v>
                </c:pt>
                <c:pt idx="80">
                  <c:v>26.985707389189624</c:v>
                </c:pt>
                <c:pt idx="81">
                  <c:v>27.333217840060424</c:v>
                </c:pt>
                <c:pt idx="82">
                  <c:v>27.738646699409699</c:v>
                </c:pt>
                <c:pt idx="83">
                  <c:v>28.144075558758974</c:v>
                </c:pt>
                <c:pt idx="84">
                  <c:v>28.665341235065178</c:v>
                </c:pt>
                <c:pt idx="85">
                  <c:v>29.128688502892921</c:v>
                </c:pt>
                <c:pt idx="86">
                  <c:v>29.534117362242196</c:v>
                </c:pt>
                <c:pt idx="87">
                  <c:v>29.881627813113003</c:v>
                </c:pt>
                <c:pt idx="88">
                  <c:v>30.113301447026871</c:v>
                </c:pt>
                <c:pt idx="89">
                  <c:v>30.460811897897678</c:v>
                </c:pt>
                <c:pt idx="90">
                  <c:v>30.866240757246949</c:v>
                </c:pt>
                <c:pt idx="91">
                  <c:v>31.387506433553167</c:v>
                </c:pt>
                <c:pt idx="92">
                  <c:v>31.677098475945492</c:v>
                </c:pt>
                <c:pt idx="93">
                  <c:v>32.140445743773235</c:v>
                </c:pt>
                <c:pt idx="94">
                  <c:v>32.603688841801556</c:v>
                </c:pt>
                <c:pt idx="95">
                  <c:v>33.009117701150835</c:v>
                </c:pt>
                <c:pt idx="96">
                  <c:v>33.414546560500106</c:v>
                </c:pt>
                <c:pt idx="97">
                  <c:v>33.877893828327842</c:v>
                </c:pt>
                <c:pt idx="98">
                  <c:v>34.341241096155585</c:v>
                </c:pt>
                <c:pt idx="99">
                  <c:v>34.862506772461792</c:v>
                </c:pt>
                <c:pt idx="100">
                  <c:v>35.325854040289535</c:v>
                </c:pt>
                <c:pt idx="101">
                  <c:v>35.731282899638806</c:v>
                </c:pt>
                <c:pt idx="102">
                  <c:v>36.252548575945021</c:v>
                </c:pt>
                <c:pt idx="103">
                  <c:v>36.600059026815828</c:v>
                </c:pt>
                <c:pt idx="104">
                  <c:v>37.063406294643563</c:v>
                </c:pt>
                <c:pt idx="105">
                  <c:v>37.468835153992835</c:v>
                </c:pt>
                <c:pt idx="106">
                  <c:v>37.932182421820585</c:v>
                </c:pt>
                <c:pt idx="107">
                  <c:v>38.337611281169856</c:v>
                </c:pt>
                <c:pt idx="108">
                  <c:v>38.627203323562192</c:v>
                </c:pt>
                <c:pt idx="109">
                  <c:v>38.800958548997592</c:v>
                </c:pt>
                <c:pt idx="110">
                  <c:v>39.090550591389935</c:v>
                </c:pt>
                <c:pt idx="111">
                  <c:v>39.495979450739199</c:v>
                </c:pt>
                <c:pt idx="112">
                  <c:v>39.72765308465307</c:v>
                </c:pt>
                <c:pt idx="113">
                  <c:v>40.075163535523878</c:v>
                </c:pt>
                <c:pt idx="114">
                  <c:v>40.53851080335162</c:v>
                </c:pt>
                <c:pt idx="115">
                  <c:v>41.059776479657828</c:v>
                </c:pt>
                <c:pt idx="116">
                  <c:v>41.465205339007099</c:v>
                </c:pt>
                <c:pt idx="117">
                  <c:v>41.986471015313306</c:v>
                </c:pt>
                <c:pt idx="118">
                  <c:v>42.391899874662585</c:v>
                </c:pt>
                <c:pt idx="119">
                  <c:v>42.797328734011856</c:v>
                </c:pt>
                <c:pt idx="120">
                  <c:v>43.202757593361127</c:v>
                </c:pt>
                <c:pt idx="121">
                  <c:v>43.724023269667342</c:v>
                </c:pt>
                <c:pt idx="122">
                  <c:v>44.303207354452013</c:v>
                </c:pt>
                <c:pt idx="123">
                  <c:v>44.708636213801284</c:v>
                </c:pt>
                <c:pt idx="124">
                  <c:v>45.114065073150563</c:v>
                </c:pt>
                <c:pt idx="125">
                  <c:v>45.577412340978299</c:v>
                </c:pt>
                <c:pt idx="126">
                  <c:v>46.09867801728452</c:v>
                </c:pt>
                <c:pt idx="127">
                  <c:v>46.446188468155313</c:v>
                </c:pt>
                <c:pt idx="128">
                  <c:v>46.909535735983063</c:v>
                </c:pt>
                <c:pt idx="129">
                  <c:v>47.314964595332334</c:v>
                </c:pt>
                <c:pt idx="130">
                  <c:v>47.662475046203134</c:v>
                </c:pt>
                <c:pt idx="131">
                  <c:v>48.009985497073941</c:v>
                </c:pt>
                <c:pt idx="132">
                  <c:v>48.357495947944749</c:v>
                </c:pt>
                <c:pt idx="133">
                  <c:v>48.76292480729402</c:v>
                </c:pt>
                <c:pt idx="134">
                  <c:v>49.052516849686356</c:v>
                </c:pt>
                <c:pt idx="135">
                  <c:v>49.515864117514099</c:v>
                </c:pt>
                <c:pt idx="136">
                  <c:v>49.805456159906441</c:v>
                </c:pt>
                <c:pt idx="137">
                  <c:v>50.210885019255713</c:v>
                </c:pt>
                <c:pt idx="138">
                  <c:v>50.674232287083456</c:v>
                </c:pt>
                <c:pt idx="139">
                  <c:v>50.96372015967637</c:v>
                </c:pt>
                <c:pt idx="140">
                  <c:v>51.369149019025649</c:v>
                </c:pt>
                <c:pt idx="141">
                  <c:v>51.832496286853385</c:v>
                </c:pt>
                <c:pt idx="142">
                  <c:v>52.237925146202656</c:v>
                </c:pt>
                <c:pt idx="143">
                  <c:v>52.643354005551927</c:v>
                </c:pt>
                <c:pt idx="144">
                  <c:v>53.048782864901199</c:v>
                </c:pt>
                <c:pt idx="145">
                  <c:v>53.454211724250477</c:v>
                </c:pt>
                <c:pt idx="146">
                  <c:v>53.801722175121292</c:v>
                </c:pt>
                <c:pt idx="147">
                  <c:v>54.265069442949027</c:v>
                </c:pt>
                <c:pt idx="148">
                  <c:v>54.728416710776763</c:v>
                </c:pt>
                <c:pt idx="149">
                  <c:v>55.133845570126034</c:v>
                </c:pt>
                <c:pt idx="150">
                  <c:v>55.539274429475306</c:v>
                </c:pt>
                <c:pt idx="151">
                  <c:v>56.002621697303056</c:v>
                </c:pt>
                <c:pt idx="152">
                  <c:v>56.465968965130784</c:v>
                </c:pt>
                <c:pt idx="153">
                  <c:v>56.929316232958534</c:v>
                </c:pt>
                <c:pt idx="154">
                  <c:v>57.450581909264749</c:v>
                </c:pt>
                <c:pt idx="155">
                  <c:v>57.913929177092477</c:v>
                </c:pt>
                <c:pt idx="156">
                  <c:v>58.319358036441756</c:v>
                </c:pt>
                <c:pt idx="157">
                  <c:v>58.840623712747963</c:v>
                </c:pt>
                <c:pt idx="158">
                  <c:v>59.18813416361877</c:v>
                </c:pt>
                <c:pt idx="159">
                  <c:v>59.593563022968056</c:v>
                </c:pt>
                <c:pt idx="160">
                  <c:v>59.998991882317313</c:v>
                </c:pt>
                <c:pt idx="161">
                  <c:v>60.346502333188127</c:v>
                </c:pt>
                <c:pt idx="162">
                  <c:v>60.751931192537405</c:v>
                </c:pt>
                <c:pt idx="163">
                  <c:v>61.15736005188667</c:v>
                </c:pt>
                <c:pt idx="164">
                  <c:v>61.562788911235948</c:v>
                </c:pt>
                <c:pt idx="165">
                  <c:v>61.968217770585213</c:v>
                </c:pt>
                <c:pt idx="166">
                  <c:v>62.489483446891427</c:v>
                </c:pt>
                <c:pt idx="167">
                  <c:v>62.836993897762227</c:v>
                </c:pt>
                <c:pt idx="168">
                  <c:v>63.30034116558997</c:v>
                </c:pt>
                <c:pt idx="169">
                  <c:v>63.879525250374648</c:v>
                </c:pt>
                <c:pt idx="170">
                  <c:v>64.574546152116255</c:v>
                </c:pt>
                <c:pt idx="171">
                  <c:v>65.037893419944012</c:v>
                </c:pt>
                <c:pt idx="172">
                  <c:v>65.385403870814812</c:v>
                </c:pt>
                <c:pt idx="173">
                  <c:v>65.559159096250212</c:v>
                </c:pt>
                <c:pt idx="174">
                  <c:v>65.790832730164084</c:v>
                </c:pt>
                <c:pt idx="175">
                  <c:v>66.022506364077941</c:v>
                </c:pt>
                <c:pt idx="176">
                  <c:v>66.196261589513355</c:v>
                </c:pt>
                <c:pt idx="177">
                  <c:v>66.543772040384169</c:v>
                </c:pt>
                <c:pt idx="178">
                  <c:v>66.891282491254955</c:v>
                </c:pt>
                <c:pt idx="179">
                  <c:v>67.180874533647298</c:v>
                </c:pt>
                <c:pt idx="180">
                  <c:v>67.470466576039641</c:v>
                </c:pt>
                <c:pt idx="181">
                  <c:v>67.875895435388927</c:v>
                </c:pt>
                <c:pt idx="182">
                  <c:v>68.165487477781241</c:v>
                </c:pt>
                <c:pt idx="183">
                  <c:v>68.512997928652069</c:v>
                </c:pt>
                <c:pt idx="184">
                  <c:v>68.860508379522869</c:v>
                </c:pt>
                <c:pt idx="185">
                  <c:v>69.207914660594255</c:v>
                </c:pt>
                <c:pt idx="186">
                  <c:v>69.613343519943527</c:v>
                </c:pt>
                <c:pt idx="187">
                  <c:v>69.902935562335855</c:v>
                </c:pt>
                <c:pt idx="188">
                  <c:v>70.366282830163613</c:v>
                </c:pt>
                <c:pt idx="189">
                  <c:v>70.655874872555955</c:v>
                </c:pt>
              </c:numCache>
            </c:numRef>
          </c:xVal>
          <c:yVal>
            <c:numRef>
              <c:f>Acceleration!$L$13:$L$202</c:f>
              <c:numCache>
                <c:formatCode>0.00000</c:formatCode>
                <c:ptCount val="190"/>
                <c:pt idx="0">
                  <c:v>3.5071052799122149</c:v>
                </c:pt>
                <c:pt idx="1">
                  <c:v>3.5928873107039938</c:v>
                </c:pt>
                <c:pt idx="2">
                  <c:v>3.6979553049166931</c:v>
                </c:pt>
                <c:pt idx="3">
                  <c:v>3.7588405536097835</c:v>
                </c:pt>
                <c:pt idx="4">
                  <c:v>3.8566472062966732</c:v>
                </c:pt>
                <c:pt idx="5">
                  <c:v>3.9129130327337265</c:v>
                </c:pt>
                <c:pt idx="6">
                  <c:v>3.96748687394193</c:v>
                </c:pt>
                <c:pt idx="7">
                  <c:v>4.056349064256203</c:v>
                </c:pt>
                <c:pt idx="8">
                  <c:v>4.1417709067856441</c:v>
                </c:pt>
                <c:pt idx="9">
                  <c:v>4.1902047267436782</c:v>
                </c:pt>
                <c:pt idx="10">
                  <c:v>4.237263681505933</c:v>
                </c:pt>
                <c:pt idx="11">
                  <c:v>4.3153997853682355</c:v>
                </c:pt>
                <c:pt idx="12">
                  <c:v>4.4107933646123954</c:v>
                </c:pt>
                <c:pt idx="13">
                  <c:v>4.4527638207263118</c:v>
                </c:pt>
                <c:pt idx="14">
                  <c:v>4.4736964687596181</c:v>
                </c:pt>
                <c:pt idx="15">
                  <c:v>4.562866776931398</c:v>
                </c:pt>
                <c:pt idx="16">
                  <c:v>4.6099129275527648</c:v>
                </c:pt>
                <c:pt idx="17">
                  <c:v>4.7022338840593498</c:v>
                </c:pt>
                <c:pt idx="18">
                  <c:v>4.7444991255736939</c:v>
                </c:pt>
                <c:pt idx="19">
                  <c:v>4.8044381168136061</c:v>
                </c:pt>
                <c:pt idx="20">
                  <c:v>4.8176332389941541</c:v>
                </c:pt>
                <c:pt idx="21">
                  <c:v>4.8936846264710159</c:v>
                </c:pt>
                <c:pt idx="22">
                  <c:v>4.9487449279872955</c:v>
                </c:pt>
                <c:pt idx="23">
                  <c:v>5.0212691873076176</c:v>
                </c:pt>
                <c:pt idx="24">
                  <c:v>5.0729651494501047</c:v>
                </c:pt>
                <c:pt idx="25">
                  <c:v>5.1422216425862244</c:v>
                </c:pt>
                <c:pt idx="26">
                  <c:v>5.2292299783911211</c:v>
                </c:pt>
                <c:pt idx="27">
                  <c:v>5.3172938611866458</c:v>
                </c:pt>
                <c:pt idx="28">
                  <c:v>5.381679604731457</c:v>
                </c:pt>
                <c:pt idx="29">
                  <c:v>5.4848977942457777</c:v>
                </c:pt>
                <c:pt idx="30">
                  <c:v>5.5461465551670095</c:v>
                </c:pt>
                <c:pt idx="31">
                  <c:v>5.625839520985811</c:v>
                </c:pt>
                <c:pt idx="32">
                  <c:v>5.7229983865718745</c:v>
                </c:pt>
                <c:pt idx="33">
                  <c:v>5.7797604703170258</c:v>
                </c:pt>
                <c:pt idx="34">
                  <c:v>5.871851771544458</c:v>
                </c:pt>
                <c:pt idx="35">
                  <c:v>5.9608642186610536</c:v>
                </c:pt>
                <c:pt idx="36">
                  <c:v>6.0666805926864873</c:v>
                </c:pt>
                <c:pt idx="37">
                  <c:v>6.1335792750664657</c:v>
                </c:pt>
                <c:pt idx="38">
                  <c:v>6.1987843702644891</c:v>
                </c:pt>
                <c:pt idx="39">
                  <c:v>6.2820912047559592</c:v>
                </c:pt>
                <c:pt idx="40">
                  <c:v>6.3286645516327527</c:v>
                </c:pt>
                <c:pt idx="41">
                  <c:v>6.3941524759345629</c:v>
                </c:pt>
                <c:pt idx="42">
                  <c:v>6.4241808487828127</c:v>
                </c:pt>
                <c:pt idx="43">
                  <c:v>6.453795438708787</c:v>
                </c:pt>
                <c:pt idx="44">
                  <c:v>6.4634578139687573</c:v>
                </c:pt>
                <c:pt idx="45">
                  <c:v>6.5460796022045997</c:v>
                </c:pt>
                <c:pt idx="46">
                  <c:v>6.5884812446644521</c:v>
                </c:pt>
                <c:pt idx="47">
                  <c:v>6.6439399501578844</c:v>
                </c:pt>
                <c:pt idx="48">
                  <c:v>6.6846135435563863</c:v>
                </c:pt>
                <c:pt idx="49">
                  <c:v>6.7246239501520657</c:v>
                </c:pt>
                <c:pt idx="50">
                  <c:v>6.8093085037834342</c:v>
                </c:pt>
                <c:pt idx="51">
                  <c:v>6.8347852007008481</c:v>
                </c:pt>
                <c:pt idx="52">
                  <c:v>6.8725034962001255</c:v>
                </c:pt>
                <c:pt idx="53">
                  <c:v>6.897266125261825</c:v>
                </c:pt>
                <c:pt idx="54">
                  <c:v>6.9024555528108538</c:v>
                </c:pt>
                <c:pt idx="55">
                  <c:v>6.9387757190254868</c:v>
                </c:pt>
                <c:pt idx="56">
                  <c:v>6.9744975843596846</c:v>
                </c:pt>
                <c:pt idx="57">
                  <c:v>6.9788819099488597</c:v>
                </c:pt>
                <c:pt idx="58">
                  <c:v>7.0136984858907034</c:v>
                </c:pt>
                <c:pt idx="59">
                  <c:v>7.0177350323565673</c:v>
                </c:pt>
                <c:pt idx="60">
                  <c:v>7.0628677647809264</c:v>
                </c:pt>
                <c:pt idx="61">
                  <c:v>7.0960630818868626</c:v>
                </c:pt>
                <c:pt idx="62">
                  <c:v>7.1101980568212007</c:v>
                </c:pt>
                <c:pt idx="63">
                  <c:v>7.1530956724705437</c:v>
                </c:pt>
                <c:pt idx="64">
                  <c:v>7.1480995966514316</c:v>
                </c:pt>
                <c:pt idx="65">
                  <c:v>7.1975390116713829</c:v>
                </c:pt>
                <c:pt idx="66">
                  <c:v>7.2282527055993251</c:v>
                </c:pt>
                <c:pt idx="67">
                  <c:v>7.2303475470208456</c:v>
                </c:pt>
                <c:pt idx="68">
                  <c:v>7.2424078274561756</c:v>
                </c:pt>
                <c:pt idx="69">
                  <c:v>7.2915573552951303</c:v>
                </c:pt>
                <c:pt idx="70">
                  <c:v>7.3299981552044109</c:v>
                </c:pt>
                <c:pt idx="71">
                  <c:v>7.3325575749494067</c:v>
                </c:pt>
                <c:pt idx="72">
                  <c:v>7.3696986056709299</c:v>
                </c:pt>
                <c:pt idx="73">
                  <c:v>7.3797895429438141</c:v>
                </c:pt>
                <c:pt idx="74">
                  <c:v>7.4068337247778526</c:v>
                </c:pt>
                <c:pt idx="75">
                  <c:v>7.4335386554960659</c:v>
                </c:pt>
                <c:pt idx="76">
                  <c:v>7.4428075454592095</c:v>
                </c:pt>
                <c:pt idx="77">
                  <c:v>7.4436681925179355</c:v>
                </c:pt>
                <c:pt idx="78">
                  <c:v>7.4279466360197874</c:v>
                </c:pt>
                <c:pt idx="79">
                  <c:v>7.4536761888997782</c:v>
                </c:pt>
                <c:pt idx="80">
                  <c:v>7.4382153109344538</c:v>
                </c:pt>
                <c:pt idx="81">
                  <c:v>7.4390401862577091</c:v>
                </c:pt>
                <c:pt idx="82">
                  <c:v>7.4478429872171956</c:v>
                </c:pt>
                <c:pt idx="83">
                  <c:v>7.456409266152348</c:v>
                </c:pt>
                <c:pt idx="84">
                  <c:v>7.4342914005247165</c:v>
                </c:pt>
                <c:pt idx="85">
                  <c:v>7.4277943170301146</c:v>
                </c:pt>
                <c:pt idx="86">
                  <c:v>7.4361821173216169</c:v>
                </c:pt>
                <c:pt idx="87">
                  <c:v>7.4368823812883278</c:v>
                </c:pt>
                <c:pt idx="88">
                  <c:v>7.4446081350134135</c:v>
                </c:pt>
                <c:pt idx="89">
                  <c:v>7.4451806313086681</c:v>
                </c:pt>
                <c:pt idx="90">
                  <c:v>7.4316397442633004</c:v>
                </c:pt>
                <c:pt idx="91">
                  <c:v>7.4117270584647743</c:v>
                </c:pt>
                <c:pt idx="92">
                  <c:v>7.4469858512699885</c:v>
                </c:pt>
                <c:pt idx="93">
                  <c:v>7.4408206204246694</c:v>
                </c:pt>
                <c:pt idx="94">
                  <c:v>7.4348073429516823</c:v>
                </c:pt>
                <c:pt idx="95">
                  <c:v>7.4421033932165823</c:v>
                </c:pt>
                <c:pt idx="96">
                  <c:v>7.4295412208742491</c:v>
                </c:pt>
                <c:pt idx="97">
                  <c:v>7.4432026543221443</c:v>
                </c:pt>
                <c:pt idx="98">
                  <c:v>7.4373929537987031</c:v>
                </c:pt>
                <c:pt idx="99">
                  <c:v>7.4380446833392808</c:v>
                </c:pt>
                <c:pt idx="100">
                  <c:v>7.4509998213255662</c:v>
                </c:pt>
                <c:pt idx="101">
                  <c:v>7.4390676778209466</c:v>
                </c:pt>
                <c:pt idx="102">
                  <c:v>7.4396300134066902</c:v>
                </c:pt>
                <c:pt idx="103">
                  <c:v>7.4399739826074471</c:v>
                </c:pt>
                <c:pt idx="104">
                  <c:v>7.4522010808145405</c:v>
                </c:pt>
                <c:pt idx="105">
                  <c:v>7.4407460057193902</c:v>
                </c:pt>
                <c:pt idx="106">
                  <c:v>7.4526708652999085</c:v>
                </c:pt>
                <c:pt idx="107">
                  <c:v>7.4585556004325246</c:v>
                </c:pt>
                <c:pt idx="108">
                  <c:v>7.4529728678089402</c:v>
                </c:pt>
                <c:pt idx="109">
                  <c:v>7.4530513943070087</c:v>
                </c:pt>
                <c:pt idx="110">
                  <c:v>7.4643508391776816</c:v>
                </c:pt>
                <c:pt idx="111">
                  <c:v>7.4532853383555624</c:v>
                </c:pt>
                <c:pt idx="112">
                  <c:v>7.4588653454419429</c:v>
                </c:pt>
                <c:pt idx="113">
                  <c:v>7.4589063651438217</c:v>
                </c:pt>
                <c:pt idx="114">
                  <c:v>7.4697495530169169</c:v>
                </c:pt>
                <c:pt idx="115">
                  <c:v>7.4696179132865241</c:v>
                </c:pt>
                <c:pt idx="116">
                  <c:v>7.4589547268745937</c:v>
                </c:pt>
                <c:pt idx="117">
                  <c:v>7.4589376207221685</c:v>
                </c:pt>
                <c:pt idx="118">
                  <c:v>7.4485754885882383</c:v>
                </c:pt>
                <c:pt idx="119">
                  <c:v>7.4690827358647756</c:v>
                </c:pt>
                <c:pt idx="120">
                  <c:v>7.4435794101888311</c:v>
                </c:pt>
                <c:pt idx="121">
                  <c:v>7.4586732369763391</c:v>
                </c:pt>
                <c:pt idx="122">
                  <c:v>7.448660955381083</c:v>
                </c:pt>
                <c:pt idx="123">
                  <c:v>7.4535227663986054</c:v>
                </c:pt>
                <c:pt idx="124">
                  <c:v>7.4583021419692317</c:v>
                </c:pt>
                <c:pt idx="125">
                  <c:v>7.4533318424203117</c:v>
                </c:pt>
                <c:pt idx="126">
                  <c:v>7.4531916267809635</c:v>
                </c:pt>
                <c:pt idx="127">
                  <c:v>7.4530795857479841</c:v>
                </c:pt>
                <c:pt idx="128">
                  <c:v>7.4622353780700044</c:v>
                </c:pt>
                <c:pt idx="129">
                  <c:v>7.4527680935953207</c:v>
                </c:pt>
                <c:pt idx="130">
                  <c:v>7.4663919036935509</c:v>
                </c:pt>
                <c:pt idx="131">
                  <c:v>7.4661387227854989</c:v>
                </c:pt>
                <c:pt idx="132">
                  <c:v>7.4658780961038236</c:v>
                </c:pt>
                <c:pt idx="133">
                  <c:v>7.456589891995046</c:v>
                </c:pt>
                <c:pt idx="134">
                  <c:v>7.478731399005647</c:v>
                </c:pt>
                <c:pt idx="135">
                  <c:v>7.4605510626357656</c:v>
                </c:pt>
                <c:pt idx="136">
                  <c:v>7.4691208103626821</c:v>
                </c:pt>
                <c:pt idx="137">
                  <c:v>7.4730905399886067</c:v>
                </c:pt>
                <c:pt idx="138">
                  <c:v>7.4553285404569429</c:v>
                </c:pt>
                <c:pt idx="139">
                  <c:v>7.4508416706429212</c:v>
                </c:pt>
                <c:pt idx="140">
                  <c:v>7.4292737050605195</c:v>
                </c:pt>
                <c:pt idx="141">
                  <c:v>7.4122514720230663</c:v>
                </c:pt>
                <c:pt idx="142">
                  <c:v>7.3913095453731978</c:v>
                </c:pt>
                <c:pt idx="143">
                  <c:v>7.370675104505823</c:v>
                </c:pt>
                <c:pt idx="144">
                  <c:v>7.3627113549780248</c:v>
                </c:pt>
                <c:pt idx="145">
                  <c:v>7.3425598939180707</c:v>
                </c:pt>
                <c:pt idx="146">
                  <c:v>7.3307610974966364</c:v>
                </c:pt>
                <c:pt idx="147">
                  <c:v>7.3152416644621701</c:v>
                </c:pt>
                <c:pt idx="148">
                  <c:v>7.2879746145182338</c:v>
                </c:pt>
                <c:pt idx="149">
                  <c:v>7.2689412455436191</c:v>
                </c:pt>
                <c:pt idx="150">
                  <c:v>7.2619863322555931</c:v>
                </c:pt>
                <c:pt idx="151">
                  <c:v>7.2474444592287464</c:v>
                </c:pt>
                <c:pt idx="152">
                  <c:v>7.2214998090431779</c:v>
                </c:pt>
                <c:pt idx="153">
                  <c:v>7.2074849552512452</c:v>
                </c:pt>
                <c:pt idx="154">
                  <c:v>7.1976742632431634</c:v>
                </c:pt>
                <c:pt idx="155">
                  <c:v>7.1840622346119059</c:v>
                </c:pt>
                <c:pt idx="156">
                  <c:v>7.1779275707947221</c:v>
                </c:pt>
                <c:pt idx="157">
                  <c:v>7.1573918683364113</c:v>
                </c:pt>
                <c:pt idx="158">
                  <c:v>7.1475893220244524</c:v>
                </c:pt>
                <c:pt idx="159">
                  <c:v>7.1307599133089763</c:v>
                </c:pt>
                <c:pt idx="160">
                  <c:v>7.1250952997394137</c:v>
                </c:pt>
                <c:pt idx="161">
                  <c:v>7.1156301467322516</c:v>
                </c:pt>
                <c:pt idx="162">
                  <c:v>7.0993069054405806</c:v>
                </c:pt>
                <c:pt idx="163">
                  <c:v>7.0724547505979629</c:v>
                </c:pt>
                <c:pt idx="164">
                  <c:v>7.0459265127356447</c:v>
                </c:pt>
                <c:pt idx="165">
                  <c:v>7.0197448676898553</c:v>
                </c:pt>
                <c:pt idx="166">
                  <c:v>6.9910563060207398</c:v>
                </c:pt>
                <c:pt idx="167">
                  <c:v>6.9617281643932758</c:v>
                </c:pt>
                <c:pt idx="168">
                  <c:v>6.9404001914067015</c:v>
                </c:pt>
                <c:pt idx="169">
                  <c:v>6.9064252479910238</c:v>
                </c:pt>
                <c:pt idx="170">
                  <c:v>6.86033581035396</c:v>
                </c:pt>
                <c:pt idx="171">
                  <c:v>6.8402268085582589</c:v>
                </c:pt>
                <c:pt idx="172">
                  <c:v>6.8127633037878796</c:v>
                </c:pt>
                <c:pt idx="173">
                  <c:v>6.8041552232093476</c:v>
                </c:pt>
                <c:pt idx="174">
                  <c:v>6.7694382474674573</c:v>
                </c:pt>
                <c:pt idx="175">
                  <c:v>6.7349736433953273</c:v>
                </c:pt>
                <c:pt idx="176">
                  <c:v>6.716715341688527</c:v>
                </c:pt>
                <c:pt idx="177">
                  <c:v>6.6607530979731262</c:v>
                </c:pt>
                <c:pt idx="178">
                  <c:v>6.6151581614919968</c:v>
                </c:pt>
                <c:pt idx="179">
                  <c:v>6.585665546018741</c:v>
                </c:pt>
                <c:pt idx="180">
                  <c:v>6.536965926219354</c:v>
                </c:pt>
                <c:pt idx="181">
                  <c:v>6.4868609726290751</c:v>
                </c:pt>
                <c:pt idx="182">
                  <c:v>6.4583133002599284</c:v>
                </c:pt>
                <c:pt idx="183">
                  <c:v>6.4052080085305034</c:v>
                </c:pt>
                <c:pt idx="184">
                  <c:v>6.362157500374126</c:v>
                </c:pt>
                <c:pt idx="185">
                  <c:v>6.3195250487823946</c:v>
                </c:pt>
                <c:pt idx="186">
                  <c:v>6.2624590347349987</c:v>
                </c:pt>
                <c:pt idx="187">
                  <c:v>6.226116945685626</c:v>
                </c:pt>
                <c:pt idx="188">
                  <c:v>6.1648325501398054</c:v>
                </c:pt>
                <c:pt idx="189">
                  <c:v>6.129257862417302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AE-4517-A40E-E97BFD73D680}"/>
            </c:ext>
          </c:extLst>
        </c:ser>
        <c:ser>
          <c:idx val="2"/>
          <c:order val="2"/>
          <c:tx>
            <c:v>Gear 3 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Acceleration!$N$13:$N$202</c:f>
              <c:numCache>
                <c:formatCode>0.00</c:formatCode>
                <c:ptCount val="190"/>
                <c:pt idx="0">
                  <c:v>13.830750111930403</c:v>
                </c:pt>
                <c:pt idx="1">
                  <c:v>13.984486558596403</c:v>
                </c:pt>
                <c:pt idx="2">
                  <c:v>14.291959451928401</c:v>
                </c:pt>
                <c:pt idx="3">
                  <c:v>14.522564121927402</c:v>
                </c:pt>
                <c:pt idx="4">
                  <c:v>14.830037015259402</c:v>
                </c:pt>
                <c:pt idx="5">
                  <c:v>15.0606416852584</c:v>
                </c:pt>
                <c:pt idx="6">
                  <c:v>15.2912463552574</c:v>
                </c:pt>
                <c:pt idx="7">
                  <c:v>15.598719248589399</c:v>
                </c:pt>
                <c:pt idx="8">
                  <c:v>15.9061921419214</c:v>
                </c:pt>
                <c:pt idx="9">
                  <c:v>16.136796811920398</c:v>
                </c:pt>
                <c:pt idx="10">
                  <c:v>16.367401481919398</c:v>
                </c:pt>
                <c:pt idx="11">
                  <c:v>16.674874375251395</c:v>
                </c:pt>
                <c:pt idx="12">
                  <c:v>16.905479045250399</c:v>
                </c:pt>
                <c:pt idx="13">
                  <c:v>17.136083715249399</c:v>
                </c:pt>
                <c:pt idx="14">
                  <c:v>17.443556608581396</c:v>
                </c:pt>
                <c:pt idx="15">
                  <c:v>17.674161278580396</c:v>
                </c:pt>
                <c:pt idx="16">
                  <c:v>18.058502395245391</c:v>
                </c:pt>
                <c:pt idx="17">
                  <c:v>18.442843511910393</c:v>
                </c:pt>
                <c:pt idx="18">
                  <c:v>18.827184628575392</c:v>
                </c:pt>
                <c:pt idx="19">
                  <c:v>19.134519269707152</c:v>
                </c:pt>
                <c:pt idx="20">
                  <c:v>19.441992163039153</c:v>
                </c:pt>
                <c:pt idx="21">
                  <c:v>19.672596833038153</c:v>
                </c:pt>
                <c:pt idx="22">
                  <c:v>19.980069726370154</c:v>
                </c:pt>
                <c:pt idx="23">
                  <c:v>20.21067439636915</c:v>
                </c:pt>
                <c:pt idx="24">
                  <c:v>20.518147289701147</c:v>
                </c:pt>
                <c:pt idx="25">
                  <c:v>20.748751959700151</c:v>
                </c:pt>
                <c:pt idx="26">
                  <c:v>20.90248840636615</c:v>
                </c:pt>
                <c:pt idx="27">
                  <c:v>21.209961299698151</c:v>
                </c:pt>
                <c:pt idx="28">
                  <c:v>21.440565969697147</c:v>
                </c:pt>
                <c:pt idx="29">
                  <c:v>21.671170639696143</c:v>
                </c:pt>
                <c:pt idx="30">
                  <c:v>21.901775309695147</c:v>
                </c:pt>
                <c:pt idx="31">
                  <c:v>22.209248203027148</c:v>
                </c:pt>
                <c:pt idx="32">
                  <c:v>22.439852873026144</c:v>
                </c:pt>
                <c:pt idx="33">
                  <c:v>22.670457543025147</c:v>
                </c:pt>
                <c:pt idx="34">
                  <c:v>23.054798659690142</c:v>
                </c:pt>
                <c:pt idx="35">
                  <c:v>23.439139776355148</c:v>
                </c:pt>
                <c:pt idx="36">
                  <c:v>23.746612669687142</c:v>
                </c:pt>
                <c:pt idx="37">
                  <c:v>24.054085563019139</c:v>
                </c:pt>
                <c:pt idx="38">
                  <c:v>24.361558456351137</c:v>
                </c:pt>
                <c:pt idx="39">
                  <c:v>24.592163126350137</c:v>
                </c:pt>
                <c:pt idx="40">
                  <c:v>24.82276779634914</c:v>
                </c:pt>
                <c:pt idx="41">
                  <c:v>24.976504243015139</c:v>
                </c:pt>
                <c:pt idx="42">
                  <c:v>25.130240689681141</c:v>
                </c:pt>
                <c:pt idx="43">
                  <c:v>25.28397713634714</c:v>
                </c:pt>
                <c:pt idx="44">
                  <c:v>25.51458180634614</c:v>
                </c:pt>
                <c:pt idx="45">
                  <c:v>25.591450029679137</c:v>
                </c:pt>
                <c:pt idx="46">
                  <c:v>25.822054699678137</c:v>
                </c:pt>
                <c:pt idx="47">
                  <c:v>26.129527593010138</c:v>
                </c:pt>
                <c:pt idx="48">
                  <c:v>26.360132263009138</c:v>
                </c:pt>
                <c:pt idx="49">
                  <c:v>26.590736933008138</c:v>
                </c:pt>
                <c:pt idx="50">
                  <c:v>26.898209826340135</c:v>
                </c:pt>
                <c:pt idx="51">
                  <c:v>27.051946273006134</c:v>
                </c:pt>
                <c:pt idx="52">
                  <c:v>27.282550943005134</c:v>
                </c:pt>
                <c:pt idx="53">
                  <c:v>27.436287389671133</c:v>
                </c:pt>
                <c:pt idx="54">
                  <c:v>27.666892059670136</c:v>
                </c:pt>
                <c:pt idx="55">
                  <c:v>27.897496729669133</c:v>
                </c:pt>
                <c:pt idx="56">
                  <c:v>28.128101399668132</c:v>
                </c:pt>
                <c:pt idx="57">
                  <c:v>28.358706069667132</c:v>
                </c:pt>
                <c:pt idx="58">
                  <c:v>28.589310739666129</c:v>
                </c:pt>
                <c:pt idx="59">
                  <c:v>28.819915409665132</c:v>
                </c:pt>
                <c:pt idx="60">
                  <c:v>29.127388302997126</c:v>
                </c:pt>
                <c:pt idx="61">
                  <c:v>29.357992972996136</c:v>
                </c:pt>
                <c:pt idx="62">
                  <c:v>29.66546586632813</c:v>
                </c:pt>
                <c:pt idx="63">
                  <c:v>29.972938759660124</c:v>
                </c:pt>
                <c:pt idx="64">
                  <c:v>30.357279876325126</c:v>
                </c:pt>
                <c:pt idx="65">
                  <c:v>30.511016322991129</c:v>
                </c:pt>
                <c:pt idx="66">
                  <c:v>30.741620992990132</c:v>
                </c:pt>
                <c:pt idx="67">
                  <c:v>30.972225662989128</c:v>
                </c:pt>
                <c:pt idx="68">
                  <c:v>31.279698556321129</c:v>
                </c:pt>
                <c:pt idx="69">
                  <c:v>31.664039672986124</c:v>
                </c:pt>
                <c:pt idx="70">
                  <c:v>31.971512566318133</c:v>
                </c:pt>
                <c:pt idx="71">
                  <c:v>32.432721906316125</c:v>
                </c:pt>
                <c:pt idx="72">
                  <c:v>32.74019479964813</c:v>
                </c:pt>
                <c:pt idx="73">
                  <c:v>33.04766769298012</c:v>
                </c:pt>
                <c:pt idx="74">
                  <c:v>33.278272362979123</c:v>
                </c:pt>
                <c:pt idx="75">
                  <c:v>33.50887703297812</c:v>
                </c:pt>
                <c:pt idx="76">
                  <c:v>33.816349926310117</c:v>
                </c:pt>
                <c:pt idx="77">
                  <c:v>34.277559266308117</c:v>
                </c:pt>
                <c:pt idx="78">
                  <c:v>34.815636829639118</c:v>
                </c:pt>
                <c:pt idx="79">
                  <c:v>35.276846169637118</c:v>
                </c:pt>
                <c:pt idx="80">
                  <c:v>35.814923732968118</c:v>
                </c:pt>
                <c:pt idx="81">
                  <c:v>36.276133072966111</c:v>
                </c:pt>
                <c:pt idx="82">
                  <c:v>36.814210636297112</c:v>
                </c:pt>
                <c:pt idx="83">
                  <c:v>37.35228819962812</c:v>
                </c:pt>
                <c:pt idx="84">
                  <c:v>38.044102209625116</c:v>
                </c:pt>
                <c:pt idx="85">
                  <c:v>38.659047996289111</c:v>
                </c:pt>
                <c:pt idx="86">
                  <c:v>39.197125559620105</c:v>
                </c:pt>
                <c:pt idx="87">
                  <c:v>39.658334899618112</c:v>
                </c:pt>
                <c:pt idx="88">
                  <c:v>39.965807792950102</c:v>
                </c:pt>
                <c:pt idx="89">
                  <c:v>40.427017132948109</c:v>
                </c:pt>
                <c:pt idx="90">
                  <c:v>40.96509469627911</c:v>
                </c:pt>
                <c:pt idx="91">
                  <c:v>41.656908706276106</c:v>
                </c:pt>
                <c:pt idx="92">
                  <c:v>42.041249822941104</c:v>
                </c:pt>
                <c:pt idx="93">
                  <c:v>42.656195609605092</c:v>
                </c:pt>
                <c:pt idx="94">
                  <c:v>43.271003144068864</c:v>
                </c:pt>
                <c:pt idx="95">
                  <c:v>43.809080707399858</c:v>
                </c:pt>
                <c:pt idx="96">
                  <c:v>44.347158270730858</c:v>
                </c:pt>
                <c:pt idx="97">
                  <c:v>44.962104057394853</c:v>
                </c:pt>
                <c:pt idx="98">
                  <c:v>45.577049844058855</c:v>
                </c:pt>
                <c:pt idx="99">
                  <c:v>46.268863854055851</c:v>
                </c:pt>
                <c:pt idx="100">
                  <c:v>46.883809640719853</c:v>
                </c:pt>
                <c:pt idx="101">
                  <c:v>47.421887204050854</c:v>
                </c:pt>
                <c:pt idx="102">
                  <c:v>48.11370121404785</c:v>
                </c:pt>
                <c:pt idx="103">
                  <c:v>48.57491055404585</c:v>
                </c:pt>
                <c:pt idx="104">
                  <c:v>49.189856340709845</c:v>
                </c:pt>
                <c:pt idx="105">
                  <c:v>49.727933904040853</c:v>
                </c:pt>
                <c:pt idx="106">
                  <c:v>50.342879690704848</c:v>
                </c:pt>
                <c:pt idx="107">
                  <c:v>50.880957254035849</c:v>
                </c:pt>
                <c:pt idx="108">
                  <c:v>51.26529837070084</c:v>
                </c:pt>
                <c:pt idx="109">
                  <c:v>51.495903040699844</c:v>
                </c:pt>
                <c:pt idx="110">
                  <c:v>51.880244157364835</c:v>
                </c:pt>
                <c:pt idx="111">
                  <c:v>52.41832172069585</c:v>
                </c:pt>
                <c:pt idx="112">
                  <c:v>52.725794614027841</c:v>
                </c:pt>
                <c:pt idx="113">
                  <c:v>53.18700395402584</c:v>
                </c:pt>
                <c:pt idx="114">
                  <c:v>53.801949740689835</c:v>
                </c:pt>
                <c:pt idx="115">
                  <c:v>54.493763750686831</c:v>
                </c:pt>
                <c:pt idx="116">
                  <c:v>55.031841314017839</c:v>
                </c:pt>
                <c:pt idx="117">
                  <c:v>55.723655324014835</c:v>
                </c:pt>
                <c:pt idx="118">
                  <c:v>56.261732887345829</c:v>
                </c:pt>
                <c:pt idx="119">
                  <c:v>56.799810450676837</c:v>
                </c:pt>
                <c:pt idx="120">
                  <c:v>57.337888014007838</c:v>
                </c:pt>
                <c:pt idx="121">
                  <c:v>58.029702024004834</c:v>
                </c:pt>
                <c:pt idx="122">
                  <c:v>58.798384257334831</c:v>
                </c:pt>
                <c:pt idx="123">
                  <c:v>59.336461820665825</c:v>
                </c:pt>
                <c:pt idx="124">
                  <c:v>59.874539383996826</c:v>
                </c:pt>
                <c:pt idx="125">
                  <c:v>60.489485170660828</c:v>
                </c:pt>
                <c:pt idx="126">
                  <c:v>61.181299180657824</c:v>
                </c:pt>
                <c:pt idx="127">
                  <c:v>61.642508520655831</c:v>
                </c:pt>
                <c:pt idx="128">
                  <c:v>62.257454307319833</c:v>
                </c:pt>
                <c:pt idx="129">
                  <c:v>62.795531870650819</c:v>
                </c:pt>
                <c:pt idx="130">
                  <c:v>63.256741210648819</c:v>
                </c:pt>
                <c:pt idx="131">
                  <c:v>63.717950550646812</c:v>
                </c:pt>
                <c:pt idx="132">
                  <c:v>64.179159890644826</c:v>
                </c:pt>
                <c:pt idx="133">
                  <c:v>64.717237453975827</c:v>
                </c:pt>
                <c:pt idx="134">
                  <c:v>65.101578570640825</c:v>
                </c:pt>
                <c:pt idx="135">
                  <c:v>65.71652435730482</c:v>
                </c:pt>
                <c:pt idx="136">
                  <c:v>66.100865473969819</c:v>
                </c:pt>
                <c:pt idx="137">
                  <c:v>66.63894303730082</c:v>
                </c:pt>
                <c:pt idx="138">
                  <c:v>67.253888823964814</c:v>
                </c:pt>
                <c:pt idx="139">
                  <c:v>67.638091688429569</c:v>
                </c:pt>
                <c:pt idx="140">
                  <c:v>68.17616925176057</c:v>
                </c:pt>
                <c:pt idx="141">
                  <c:v>68.791115038424564</c:v>
                </c:pt>
                <c:pt idx="142">
                  <c:v>69.329192601755565</c:v>
                </c:pt>
                <c:pt idx="143">
                  <c:v>69.867270165086566</c:v>
                </c:pt>
                <c:pt idx="144">
                  <c:v>70.405347728417567</c:v>
                </c:pt>
                <c:pt idx="145">
                  <c:v>70.943425291748568</c:v>
                </c:pt>
                <c:pt idx="146">
                  <c:v>71.404634631746575</c:v>
                </c:pt>
                <c:pt idx="147">
                  <c:v>72.01958041841057</c:v>
                </c:pt>
                <c:pt idx="148">
                  <c:v>72.634526205074565</c:v>
                </c:pt>
                <c:pt idx="149">
                  <c:v>73.172603768405537</c:v>
                </c:pt>
                <c:pt idx="150">
                  <c:v>73.710681331736566</c:v>
                </c:pt>
                <c:pt idx="151">
                  <c:v>74.325627118400561</c:v>
                </c:pt>
                <c:pt idx="152">
                  <c:v>74.940572905064542</c:v>
                </c:pt>
                <c:pt idx="153">
                  <c:v>75.555518691728551</c:v>
                </c:pt>
                <c:pt idx="154">
                  <c:v>76.247332701725554</c:v>
                </c:pt>
                <c:pt idx="155">
                  <c:v>76.862278488389549</c:v>
                </c:pt>
                <c:pt idx="156">
                  <c:v>77.40035605172055</c:v>
                </c:pt>
                <c:pt idx="157">
                  <c:v>78.092170061717539</c:v>
                </c:pt>
                <c:pt idx="158">
                  <c:v>78.55337940171556</c:v>
                </c:pt>
                <c:pt idx="159">
                  <c:v>79.091456965046547</c:v>
                </c:pt>
                <c:pt idx="160">
                  <c:v>79.629534528377548</c:v>
                </c:pt>
                <c:pt idx="161">
                  <c:v>80.090743868375554</c:v>
                </c:pt>
                <c:pt idx="162">
                  <c:v>80.628821431706541</c:v>
                </c:pt>
                <c:pt idx="163">
                  <c:v>81.166898995037556</c:v>
                </c:pt>
                <c:pt idx="164">
                  <c:v>81.704976558368557</c:v>
                </c:pt>
                <c:pt idx="165">
                  <c:v>82.243054121699544</c:v>
                </c:pt>
                <c:pt idx="166">
                  <c:v>82.934868131696547</c:v>
                </c:pt>
                <c:pt idx="167">
                  <c:v>83.396077471694539</c:v>
                </c:pt>
                <c:pt idx="168">
                  <c:v>84.011023258358534</c:v>
                </c:pt>
                <c:pt idx="169">
                  <c:v>84.779705491688532</c:v>
                </c:pt>
                <c:pt idx="170">
                  <c:v>85.702124171684531</c:v>
                </c:pt>
                <c:pt idx="171">
                  <c:v>86.317069958348526</c:v>
                </c:pt>
                <c:pt idx="172">
                  <c:v>86.778279298346547</c:v>
                </c:pt>
                <c:pt idx="173">
                  <c:v>87.008883968345529</c:v>
                </c:pt>
                <c:pt idx="174">
                  <c:v>87.316356861677519</c:v>
                </c:pt>
                <c:pt idx="175">
                  <c:v>87.623829755009538</c:v>
                </c:pt>
                <c:pt idx="176">
                  <c:v>87.85443442500852</c:v>
                </c:pt>
                <c:pt idx="177">
                  <c:v>88.315643765006527</c:v>
                </c:pt>
                <c:pt idx="178">
                  <c:v>88.77685310500452</c:v>
                </c:pt>
                <c:pt idx="179">
                  <c:v>89.161194221669533</c:v>
                </c:pt>
                <c:pt idx="180">
                  <c:v>89.545535338334531</c:v>
                </c:pt>
                <c:pt idx="181">
                  <c:v>90.083612901665532</c:v>
                </c:pt>
                <c:pt idx="182">
                  <c:v>90.467954018330516</c:v>
                </c:pt>
                <c:pt idx="183">
                  <c:v>90.929163358328523</c:v>
                </c:pt>
                <c:pt idx="184">
                  <c:v>91.390372698326516</c:v>
                </c:pt>
                <c:pt idx="185">
                  <c:v>91.851443786124278</c:v>
                </c:pt>
                <c:pt idx="186">
                  <c:v>92.389521349455293</c:v>
                </c:pt>
                <c:pt idx="187">
                  <c:v>92.773862466120278</c:v>
                </c:pt>
                <c:pt idx="188">
                  <c:v>93.388808252784287</c:v>
                </c:pt>
                <c:pt idx="189">
                  <c:v>93.773149369449285</c:v>
                </c:pt>
              </c:numCache>
            </c:numRef>
          </c:xVal>
          <c:yVal>
            <c:numRef>
              <c:f>Acceleration!$P$13:$P$202</c:f>
              <c:numCache>
                <c:formatCode>0.00000</c:formatCode>
                <c:ptCount val="190"/>
                <c:pt idx="0">
                  <c:v>2.6361661334157929</c:v>
                </c:pt>
                <c:pt idx="1">
                  <c:v>2.7007631824681235</c:v>
                </c:pt>
                <c:pt idx="2">
                  <c:v>2.7798527986444461</c:v>
                </c:pt>
                <c:pt idx="3">
                  <c:v>2.8256698203686654</c:v>
                </c:pt>
                <c:pt idx="4">
                  <c:v>2.8992852679760226</c:v>
                </c:pt>
                <c:pt idx="5">
                  <c:v>2.9416194749011257</c:v>
                </c:pt>
                <c:pt idx="6">
                  <c:v>2.9826778727420216</c:v>
                </c:pt>
                <c:pt idx="7">
                  <c:v>3.0495497092052126</c:v>
                </c:pt>
                <c:pt idx="8">
                  <c:v>3.1138276568995766</c:v>
                </c:pt>
                <c:pt idx="9">
                  <c:v>3.1502562537810674</c:v>
                </c:pt>
                <c:pt idx="10">
                  <c:v>3.1856479841064274</c:v>
                </c:pt>
                <c:pt idx="11">
                  <c:v>3.2444321301742813</c:v>
                </c:pt>
                <c:pt idx="12">
                  <c:v>3.316240681422161</c:v>
                </c:pt>
                <c:pt idx="13">
                  <c:v>3.3477952210710011</c:v>
                </c:pt>
                <c:pt idx="14">
                  <c:v>3.3634737331122597</c:v>
                </c:pt>
                <c:pt idx="15">
                  <c:v>3.430590069202295</c:v>
                </c:pt>
                <c:pt idx="16">
                  <c:v>3.4659171500846226</c:v>
                </c:pt>
                <c:pt idx="17">
                  <c:v>3.5353551333462052</c:v>
                </c:pt>
                <c:pt idx="18">
                  <c:v>3.5670747011071917</c:v>
                </c:pt>
                <c:pt idx="19">
                  <c:v>3.6121344576513716</c:v>
                </c:pt>
                <c:pt idx="20">
                  <c:v>3.6219720890329952</c:v>
                </c:pt>
                <c:pt idx="21">
                  <c:v>3.6791954982844515</c:v>
                </c:pt>
                <c:pt idx="22">
                  <c:v>3.720574645589497</c:v>
                </c:pt>
                <c:pt idx="23">
                  <c:v>3.7751382580991097</c:v>
                </c:pt>
                <c:pt idx="24">
                  <c:v>3.8139795368131955</c:v>
                </c:pt>
                <c:pt idx="25">
                  <c:v>3.8660787757611317</c:v>
                </c:pt>
                <c:pt idx="26">
                  <c:v>3.9315810616023334</c:v>
                </c:pt>
                <c:pt idx="27">
                  <c:v>3.997820966804853</c:v>
                </c:pt>
                <c:pt idx="28">
                  <c:v>4.0462473964935404</c:v>
                </c:pt>
                <c:pt idx="29">
                  <c:v>4.1239322282158728</c:v>
                </c:pt>
                <c:pt idx="30">
                  <c:v>4.1699931392925729</c:v>
                </c:pt>
                <c:pt idx="31">
                  <c:v>4.2299203360104265</c:v>
                </c:pt>
                <c:pt idx="32">
                  <c:v>4.3030364829135967</c:v>
                </c:pt>
                <c:pt idx="33">
                  <c:v>4.3457136617176531</c:v>
                </c:pt>
                <c:pt idx="34">
                  <c:v>4.4149473464806972</c:v>
                </c:pt>
                <c:pt idx="35">
                  <c:v>4.4818585817169962</c:v>
                </c:pt>
                <c:pt idx="36">
                  <c:v>4.5614608196601925</c:v>
                </c:pt>
                <c:pt idx="37">
                  <c:v>4.6117378199838219</c:v>
                </c:pt>
                <c:pt idx="38">
                  <c:v>4.6607370747994556</c:v>
                </c:pt>
                <c:pt idx="39">
                  <c:v>4.7234072875706596</c:v>
                </c:pt>
                <c:pt idx="40">
                  <c:v>4.7583987387646669</c:v>
                </c:pt>
                <c:pt idx="41">
                  <c:v>4.8076748528177911</c:v>
                </c:pt>
                <c:pt idx="42">
                  <c:v>4.8302326073887176</c:v>
                </c:pt>
                <c:pt idx="43">
                  <c:v>4.8524781694112598</c:v>
                </c:pt>
                <c:pt idx="44">
                  <c:v>4.8596552534102342</c:v>
                </c:pt>
                <c:pt idx="45">
                  <c:v>4.9218742001560365</c:v>
                </c:pt>
                <c:pt idx="46">
                  <c:v>4.9537183058981782</c:v>
                </c:pt>
                <c:pt idx="47">
                  <c:v>4.9953642977578889</c:v>
                </c:pt>
                <c:pt idx="48">
                  <c:v>5.0259041707793362</c:v>
                </c:pt>
                <c:pt idx="49">
                  <c:v>5.0559434102689291</c:v>
                </c:pt>
                <c:pt idx="50">
                  <c:v>5.1196062272225165</c:v>
                </c:pt>
                <c:pt idx="51">
                  <c:v>5.1387291905090287</c:v>
                </c:pt>
                <c:pt idx="52">
                  <c:v>5.1670385645357895</c:v>
                </c:pt>
                <c:pt idx="53">
                  <c:v>5.185622452408591</c:v>
                </c:pt>
                <c:pt idx="54">
                  <c:v>5.1894205222460892</c:v>
                </c:pt>
                <c:pt idx="55">
                  <c:v>5.2166739377921658</c:v>
                </c:pt>
                <c:pt idx="56">
                  <c:v>5.2434756098313473</c:v>
                </c:pt>
                <c:pt idx="57">
                  <c:v>5.2466642408120618</c:v>
                </c:pt>
                <c:pt idx="58">
                  <c:v>5.2727819228938815</c:v>
                </c:pt>
                <c:pt idx="59">
                  <c:v>5.2757066348658421</c:v>
                </c:pt>
                <c:pt idx="60">
                  <c:v>5.3095559925550191</c:v>
                </c:pt>
                <c:pt idx="61">
                  <c:v>5.334448968066777</c:v>
                </c:pt>
                <c:pt idx="62">
                  <c:v>5.3449393229080124</c:v>
                </c:pt>
                <c:pt idx="63">
                  <c:v>5.3770999876478074</c:v>
                </c:pt>
                <c:pt idx="64">
                  <c:v>5.3731311102034116</c:v>
                </c:pt>
                <c:pt idx="65">
                  <c:v>5.410300043271163</c:v>
                </c:pt>
                <c:pt idx="66">
                  <c:v>5.4333175470390884</c:v>
                </c:pt>
                <c:pt idx="67">
                  <c:v>5.4347704769978584</c:v>
                </c:pt>
                <c:pt idx="68">
                  <c:v>5.4436888453821837</c:v>
                </c:pt>
                <c:pt idx="69">
                  <c:v>5.480508557056849</c:v>
                </c:pt>
                <c:pt idx="70">
                  <c:v>5.5093002787276664</c:v>
                </c:pt>
                <c:pt idx="71">
                  <c:v>5.5109668326857317</c:v>
                </c:pt>
                <c:pt idx="72">
                  <c:v>5.5387750407322001</c:v>
                </c:pt>
                <c:pt idx="73">
                  <c:v>5.5461999688396419</c:v>
                </c:pt>
                <c:pt idx="74">
                  <c:v>5.566442265414989</c:v>
                </c:pt>
                <c:pt idx="75">
                  <c:v>5.586428006422385</c:v>
                </c:pt>
                <c:pt idx="76">
                  <c:v>5.5932293731675475</c:v>
                </c:pt>
                <c:pt idx="77">
                  <c:v>5.5936009370517104</c:v>
                </c:pt>
                <c:pt idx="78">
                  <c:v>5.5814273050923138</c:v>
                </c:pt>
                <c:pt idx="79">
                  <c:v>5.6005288803919138</c:v>
                </c:pt>
                <c:pt idx="80">
                  <c:v>5.5885421815455265</c:v>
                </c:pt>
                <c:pt idx="81">
                  <c:v>5.5888705372955991</c:v>
                </c:pt>
                <c:pt idx="82">
                  <c:v>5.5951564709726149</c:v>
                </c:pt>
                <c:pt idx="83">
                  <c:v>5.6012590851089579</c:v>
                </c:pt>
                <c:pt idx="84">
                  <c:v>5.5841338754708776</c:v>
                </c:pt>
                <c:pt idx="85">
                  <c:v>5.5788225760174601</c:v>
                </c:pt>
                <c:pt idx="86">
                  <c:v>5.5847732053198893</c:v>
                </c:pt>
                <c:pt idx="87">
                  <c:v>5.5849801609197618</c:v>
                </c:pt>
                <c:pt idx="88">
                  <c:v>5.5905854670763988</c:v>
                </c:pt>
                <c:pt idx="89">
                  <c:v>5.5906899008132882</c:v>
                </c:pt>
                <c:pt idx="90">
                  <c:v>5.5801010011174599</c:v>
                </c:pt>
                <c:pt idx="91">
                  <c:v>5.5645932669345584</c:v>
                </c:pt>
                <c:pt idx="92">
                  <c:v>5.590876300643064</c:v>
                </c:pt>
                <c:pt idx="93">
                  <c:v>5.5857716978180116</c:v>
                </c:pt>
                <c:pt idx="94">
                  <c:v>5.5807750250966448</c:v>
                </c:pt>
                <c:pt idx="95">
                  <c:v>5.5858592842243411</c:v>
                </c:pt>
                <c:pt idx="96">
                  <c:v>5.5759757313367633</c:v>
                </c:pt>
                <c:pt idx="97">
                  <c:v>5.5857850502044259</c:v>
                </c:pt>
                <c:pt idx="98">
                  <c:v>5.5809166563129908</c:v>
                </c:pt>
                <c:pt idx="99">
                  <c:v>5.5808474626147424</c:v>
                </c:pt>
                <c:pt idx="100">
                  <c:v>5.5901037646683767</c:v>
                </c:pt>
                <c:pt idx="101">
                  <c:v>5.5806657481911532</c:v>
                </c:pt>
                <c:pt idx="102">
                  <c:v>5.5805066913598562</c:v>
                </c:pt>
                <c:pt idx="103">
                  <c:v>5.5803726661459541</c:v>
                </c:pt>
                <c:pt idx="104">
                  <c:v>5.5890553996102961</c:v>
                </c:pt>
                <c:pt idx="105">
                  <c:v>5.5799549613341179</c:v>
                </c:pt>
                <c:pt idx="106">
                  <c:v>5.5883974612405547</c:v>
                </c:pt>
                <c:pt idx="107">
                  <c:v>5.5923512235816215</c:v>
                </c:pt>
                <c:pt idx="108">
                  <c:v>5.5877986049150383</c:v>
                </c:pt>
                <c:pt idx="109">
                  <c:v>5.5876488262899997</c:v>
                </c:pt>
                <c:pt idx="110">
                  <c:v>5.5958123655824838</c:v>
                </c:pt>
                <c:pt idx="111">
                  <c:v>5.5869799337739083</c:v>
                </c:pt>
                <c:pt idx="112">
                  <c:v>5.5908992829601676</c:v>
                </c:pt>
                <c:pt idx="113">
                  <c:v>5.5904994809195543</c:v>
                </c:pt>
                <c:pt idx="114">
                  <c:v>5.5980894550279814</c:v>
                </c:pt>
                <c:pt idx="115">
                  <c:v>5.5973296677374469</c:v>
                </c:pt>
                <c:pt idx="116">
                  <c:v>5.5887755711814497</c:v>
                </c:pt>
                <c:pt idx="117">
                  <c:v>5.5880870776772964</c:v>
                </c:pt>
                <c:pt idx="118">
                  <c:v>5.5797481482452129</c:v>
                </c:pt>
                <c:pt idx="119">
                  <c:v>5.5946634684951349</c:v>
                </c:pt>
                <c:pt idx="120">
                  <c:v>5.5749057923988499</c:v>
                </c:pt>
                <c:pt idx="121">
                  <c:v>5.5855748998501369</c:v>
                </c:pt>
                <c:pt idx="122">
                  <c:v>5.5772390498478526</c:v>
                </c:pt>
                <c:pt idx="123">
                  <c:v>5.5803418299373568</c:v>
                </c:pt>
                <c:pt idx="124">
                  <c:v>5.5833773911184945</c:v>
                </c:pt>
                <c:pt idx="125">
                  <c:v>5.5789797501369778</c:v>
                </c:pt>
                <c:pt idx="126">
                  <c:v>5.5781319136638423</c:v>
                </c:pt>
                <c:pt idx="127">
                  <c:v>5.5775480129206487</c:v>
                </c:pt>
                <c:pt idx="128">
                  <c:v>5.5837748792547925</c:v>
                </c:pt>
                <c:pt idx="129">
                  <c:v>5.5760481984898389</c:v>
                </c:pt>
                <c:pt idx="130">
                  <c:v>5.5858008113056732</c:v>
                </c:pt>
                <c:pt idx="131">
                  <c:v>5.5850936848084851</c:v>
                </c:pt>
                <c:pt idx="132">
                  <c:v>5.5843771969485392</c:v>
                </c:pt>
                <c:pt idx="133">
                  <c:v>5.5767672143111442</c:v>
                </c:pt>
                <c:pt idx="134">
                  <c:v>5.5930103831293607</c:v>
                </c:pt>
                <c:pt idx="135">
                  <c:v>5.5786026043699888</c:v>
                </c:pt>
                <c:pt idx="136">
                  <c:v>5.5846129970824823</c:v>
                </c:pt>
                <c:pt idx="137">
                  <c:v>5.5869743226962916</c:v>
                </c:pt>
                <c:pt idx="138">
                  <c:v>5.5728650791983068</c:v>
                </c:pt>
                <c:pt idx="139">
                  <c:v>5.5690273610162651</c:v>
                </c:pt>
                <c:pt idx="140">
                  <c:v>5.5521320440891992</c:v>
                </c:pt>
                <c:pt idx="141">
                  <c:v>5.5385635270800142</c:v>
                </c:pt>
                <c:pt idx="142">
                  <c:v>5.5221289750028637</c:v>
                </c:pt>
                <c:pt idx="143">
                  <c:v>5.5059210005441646</c:v>
                </c:pt>
                <c:pt idx="144">
                  <c:v>5.499254989939093</c:v>
                </c:pt>
                <c:pt idx="145">
                  <c:v>5.4834007180150124</c:v>
                </c:pt>
                <c:pt idx="146">
                  <c:v>5.4739317222752542</c:v>
                </c:pt>
                <c:pt idx="147">
                  <c:v>5.4614605192202461</c:v>
                </c:pt>
                <c:pt idx="148">
                  <c:v>5.4401310928737461</c:v>
                </c:pt>
                <c:pt idx="149">
                  <c:v>5.4250981248877377</c:v>
                </c:pt>
                <c:pt idx="150">
                  <c:v>5.4191608850420998</c:v>
                </c:pt>
                <c:pt idx="151">
                  <c:v>5.4074012429463973</c:v>
                </c:pt>
                <c:pt idx="152">
                  <c:v>5.3870432062462372</c:v>
                </c:pt>
                <c:pt idx="153">
                  <c:v>5.3756673234083729</c:v>
                </c:pt>
                <c:pt idx="154">
                  <c:v>5.3673492046751274</c:v>
                </c:pt>
                <c:pt idx="155">
                  <c:v>5.3562626701767284</c:v>
                </c:pt>
                <c:pt idx="156">
                  <c:v>5.3509084584228708</c:v>
                </c:pt>
                <c:pt idx="157">
                  <c:v>5.3344867882743356</c:v>
                </c:pt>
                <c:pt idx="158">
                  <c:v>5.3264637775332098</c:v>
                </c:pt>
                <c:pt idx="159">
                  <c:v>5.3130352790574085</c:v>
                </c:pt>
                <c:pt idx="160">
                  <c:v>5.3080140868733778</c:v>
                </c:pt>
                <c:pt idx="161">
                  <c:v>5.3002327902748503</c:v>
                </c:pt>
                <c:pt idx="162">
                  <c:v>5.2871710893227437</c:v>
                </c:pt>
                <c:pt idx="163">
                  <c:v>5.2661709925343088</c:v>
                </c:pt>
                <c:pt idx="164">
                  <c:v>5.245409853887578</c:v>
                </c:pt>
                <c:pt idx="165">
                  <c:v>5.224904759094807</c:v>
                </c:pt>
                <c:pt idx="166">
                  <c:v>5.2022810196540057</c:v>
                </c:pt>
                <c:pt idx="167">
                  <c:v>5.1795065424715814</c:v>
                </c:pt>
                <c:pt idx="168">
                  <c:v>5.1625287006690863</c:v>
                </c:pt>
                <c:pt idx="169">
                  <c:v>5.1357853563263411</c:v>
                </c:pt>
                <c:pt idx="170">
                  <c:v>5.0996714659014515</c:v>
                </c:pt>
                <c:pt idx="171">
                  <c:v>5.0835870827386911</c:v>
                </c:pt>
                <c:pt idx="172">
                  <c:v>5.0621900574102678</c:v>
                </c:pt>
                <c:pt idx="173">
                  <c:v>5.0553507049394169</c:v>
                </c:pt>
                <c:pt idx="174">
                  <c:v>5.0287196634610947</c:v>
                </c:pt>
                <c:pt idx="175">
                  <c:v>5.002277110957225</c:v>
                </c:pt>
                <c:pt idx="176">
                  <c:v>4.9881631040157846</c:v>
                </c:pt>
                <c:pt idx="177">
                  <c:v>4.9452804416025362</c:v>
                </c:pt>
                <c:pt idx="178">
                  <c:v>4.9102055515720515</c:v>
                </c:pt>
                <c:pt idx="179">
                  <c:v>4.8873805469875373</c:v>
                </c:pt>
                <c:pt idx="180">
                  <c:v>4.8500809088961079</c:v>
                </c:pt>
                <c:pt idx="181">
                  <c:v>4.8114757628978131</c:v>
                </c:pt>
                <c:pt idx="182">
                  <c:v>4.7893538939681886</c:v>
                </c:pt>
                <c:pt idx="183">
                  <c:v>4.7486026215609707</c:v>
                </c:pt>
                <c:pt idx="184">
                  <c:v>4.7154236422671234</c:v>
                </c:pt>
                <c:pt idx="185">
                  <c:v>4.6825561316078872</c:v>
                </c:pt>
                <c:pt idx="186">
                  <c:v>4.6386841089853403</c:v>
                </c:pt>
                <c:pt idx="187">
                  <c:v>4.6106737005439573</c:v>
                </c:pt>
                <c:pt idx="188">
                  <c:v>4.5634879325989761</c:v>
                </c:pt>
                <c:pt idx="189">
                  <c:v>4.5360489702059645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AE-4517-A40E-E97BFD73D680}"/>
            </c:ext>
          </c:extLst>
        </c:ser>
        <c:ser>
          <c:idx val="3"/>
          <c:order val="3"/>
          <c:tx>
            <c:v>Gear 4 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Acceleration!$N$13:$N$202</c:f>
              <c:numCache>
                <c:formatCode>0.00</c:formatCode>
                <c:ptCount val="190"/>
                <c:pt idx="0">
                  <c:v>13.830750111930403</c:v>
                </c:pt>
                <c:pt idx="1">
                  <c:v>13.984486558596403</c:v>
                </c:pt>
                <c:pt idx="2">
                  <c:v>14.291959451928401</c:v>
                </c:pt>
                <c:pt idx="3">
                  <c:v>14.522564121927402</c:v>
                </c:pt>
                <c:pt idx="4">
                  <c:v>14.830037015259402</c:v>
                </c:pt>
                <c:pt idx="5">
                  <c:v>15.0606416852584</c:v>
                </c:pt>
                <c:pt idx="6">
                  <c:v>15.2912463552574</c:v>
                </c:pt>
                <c:pt idx="7">
                  <c:v>15.598719248589399</c:v>
                </c:pt>
                <c:pt idx="8">
                  <c:v>15.9061921419214</c:v>
                </c:pt>
                <c:pt idx="9">
                  <c:v>16.136796811920398</c:v>
                </c:pt>
                <c:pt idx="10">
                  <c:v>16.367401481919398</c:v>
                </c:pt>
                <c:pt idx="11">
                  <c:v>16.674874375251395</c:v>
                </c:pt>
                <c:pt idx="12">
                  <c:v>16.905479045250399</c:v>
                </c:pt>
                <c:pt idx="13">
                  <c:v>17.136083715249399</c:v>
                </c:pt>
                <c:pt idx="14">
                  <c:v>17.443556608581396</c:v>
                </c:pt>
                <c:pt idx="15">
                  <c:v>17.674161278580396</c:v>
                </c:pt>
                <c:pt idx="16">
                  <c:v>18.058502395245391</c:v>
                </c:pt>
                <c:pt idx="17">
                  <c:v>18.442843511910393</c:v>
                </c:pt>
                <c:pt idx="18">
                  <c:v>18.827184628575392</c:v>
                </c:pt>
                <c:pt idx="19">
                  <c:v>19.134519269707152</c:v>
                </c:pt>
                <c:pt idx="20">
                  <c:v>19.441992163039153</c:v>
                </c:pt>
                <c:pt idx="21">
                  <c:v>19.672596833038153</c:v>
                </c:pt>
                <c:pt idx="22">
                  <c:v>19.980069726370154</c:v>
                </c:pt>
                <c:pt idx="23">
                  <c:v>20.21067439636915</c:v>
                </c:pt>
                <c:pt idx="24">
                  <c:v>20.518147289701147</c:v>
                </c:pt>
                <c:pt idx="25">
                  <c:v>20.748751959700151</c:v>
                </c:pt>
                <c:pt idx="26">
                  <c:v>20.90248840636615</c:v>
                </c:pt>
                <c:pt idx="27">
                  <c:v>21.209961299698151</c:v>
                </c:pt>
                <c:pt idx="28">
                  <c:v>21.440565969697147</c:v>
                </c:pt>
                <c:pt idx="29">
                  <c:v>21.671170639696143</c:v>
                </c:pt>
                <c:pt idx="30">
                  <c:v>21.901775309695147</c:v>
                </c:pt>
                <c:pt idx="31">
                  <c:v>22.209248203027148</c:v>
                </c:pt>
                <c:pt idx="32">
                  <c:v>22.439852873026144</c:v>
                </c:pt>
                <c:pt idx="33">
                  <c:v>22.670457543025147</c:v>
                </c:pt>
                <c:pt idx="34">
                  <c:v>23.054798659690142</c:v>
                </c:pt>
                <c:pt idx="35">
                  <c:v>23.439139776355148</c:v>
                </c:pt>
                <c:pt idx="36">
                  <c:v>23.746612669687142</c:v>
                </c:pt>
                <c:pt idx="37">
                  <c:v>24.054085563019139</c:v>
                </c:pt>
                <c:pt idx="38">
                  <c:v>24.361558456351137</c:v>
                </c:pt>
                <c:pt idx="39">
                  <c:v>24.592163126350137</c:v>
                </c:pt>
                <c:pt idx="40">
                  <c:v>24.82276779634914</c:v>
                </c:pt>
                <c:pt idx="41">
                  <c:v>24.976504243015139</c:v>
                </c:pt>
                <c:pt idx="42">
                  <c:v>25.130240689681141</c:v>
                </c:pt>
                <c:pt idx="43">
                  <c:v>25.28397713634714</c:v>
                </c:pt>
                <c:pt idx="44">
                  <c:v>25.51458180634614</c:v>
                </c:pt>
                <c:pt idx="45">
                  <c:v>25.591450029679137</c:v>
                </c:pt>
                <c:pt idx="46">
                  <c:v>25.822054699678137</c:v>
                </c:pt>
                <c:pt idx="47">
                  <c:v>26.129527593010138</c:v>
                </c:pt>
                <c:pt idx="48">
                  <c:v>26.360132263009138</c:v>
                </c:pt>
                <c:pt idx="49">
                  <c:v>26.590736933008138</c:v>
                </c:pt>
                <c:pt idx="50">
                  <c:v>26.898209826340135</c:v>
                </c:pt>
                <c:pt idx="51">
                  <c:v>27.051946273006134</c:v>
                </c:pt>
                <c:pt idx="52">
                  <c:v>27.282550943005134</c:v>
                </c:pt>
                <c:pt idx="53">
                  <c:v>27.436287389671133</c:v>
                </c:pt>
                <c:pt idx="54">
                  <c:v>27.666892059670136</c:v>
                </c:pt>
                <c:pt idx="55">
                  <c:v>27.897496729669133</c:v>
                </c:pt>
                <c:pt idx="56">
                  <c:v>28.128101399668132</c:v>
                </c:pt>
                <c:pt idx="57">
                  <c:v>28.358706069667132</c:v>
                </c:pt>
                <c:pt idx="58">
                  <c:v>28.589310739666129</c:v>
                </c:pt>
                <c:pt idx="59">
                  <c:v>28.819915409665132</c:v>
                </c:pt>
                <c:pt idx="60">
                  <c:v>29.127388302997126</c:v>
                </c:pt>
                <c:pt idx="61">
                  <c:v>29.357992972996136</c:v>
                </c:pt>
                <c:pt idx="62">
                  <c:v>29.66546586632813</c:v>
                </c:pt>
                <c:pt idx="63">
                  <c:v>29.972938759660124</c:v>
                </c:pt>
                <c:pt idx="64">
                  <c:v>30.357279876325126</c:v>
                </c:pt>
                <c:pt idx="65">
                  <c:v>30.511016322991129</c:v>
                </c:pt>
                <c:pt idx="66">
                  <c:v>30.741620992990132</c:v>
                </c:pt>
                <c:pt idx="67">
                  <c:v>30.972225662989128</c:v>
                </c:pt>
                <c:pt idx="68">
                  <c:v>31.279698556321129</c:v>
                </c:pt>
                <c:pt idx="69">
                  <c:v>31.664039672986124</c:v>
                </c:pt>
                <c:pt idx="70">
                  <c:v>31.971512566318133</c:v>
                </c:pt>
                <c:pt idx="71">
                  <c:v>32.432721906316125</c:v>
                </c:pt>
                <c:pt idx="72">
                  <c:v>32.74019479964813</c:v>
                </c:pt>
                <c:pt idx="73">
                  <c:v>33.04766769298012</c:v>
                </c:pt>
                <c:pt idx="74">
                  <c:v>33.278272362979123</c:v>
                </c:pt>
                <c:pt idx="75">
                  <c:v>33.50887703297812</c:v>
                </c:pt>
                <c:pt idx="76">
                  <c:v>33.816349926310117</c:v>
                </c:pt>
                <c:pt idx="77">
                  <c:v>34.277559266308117</c:v>
                </c:pt>
                <c:pt idx="78">
                  <c:v>34.815636829639118</c:v>
                </c:pt>
                <c:pt idx="79">
                  <c:v>35.276846169637118</c:v>
                </c:pt>
                <c:pt idx="80">
                  <c:v>35.814923732968118</c:v>
                </c:pt>
                <c:pt idx="81">
                  <c:v>36.276133072966111</c:v>
                </c:pt>
                <c:pt idx="82">
                  <c:v>36.814210636297112</c:v>
                </c:pt>
                <c:pt idx="83">
                  <c:v>37.35228819962812</c:v>
                </c:pt>
                <c:pt idx="84">
                  <c:v>38.044102209625116</c:v>
                </c:pt>
                <c:pt idx="85">
                  <c:v>38.659047996289111</c:v>
                </c:pt>
                <c:pt idx="86">
                  <c:v>39.197125559620105</c:v>
                </c:pt>
                <c:pt idx="87">
                  <c:v>39.658334899618112</c:v>
                </c:pt>
                <c:pt idx="88">
                  <c:v>39.965807792950102</c:v>
                </c:pt>
                <c:pt idx="89">
                  <c:v>40.427017132948109</c:v>
                </c:pt>
                <c:pt idx="90">
                  <c:v>40.96509469627911</c:v>
                </c:pt>
                <c:pt idx="91">
                  <c:v>41.656908706276106</c:v>
                </c:pt>
                <c:pt idx="92">
                  <c:v>42.041249822941104</c:v>
                </c:pt>
                <c:pt idx="93">
                  <c:v>42.656195609605092</c:v>
                </c:pt>
                <c:pt idx="94">
                  <c:v>43.271003144068864</c:v>
                </c:pt>
                <c:pt idx="95">
                  <c:v>43.809080707399858</c:v>
                </c:pt>
                <c:pt idx="96">
                  <c:v>44.347158270730858</c:v>
                </c:pt>
                <c:pt idx="97">
                  <c:v>44.962104057394853</c:v>
                </c:pt>
                <c:pt idx="98">
                  <c:v>45.577049844058855</c:v>
                </c:pt>
                <c:pt idx="99">
                  <c:v>46.268863854055851</c:v>
                </c:pt>
                <c:pt idx="100">
                  <c:v>46.883809640719853</c:v>
                </c:pt>
                <c:pt idx="101">
                  <c:v>47.421887204050854</c:v>
                </c:pt>
                <c:pt idx="102">
                  <c:v>48.11370121404785</c:v>
                </c:pt>
                <c:pt idx="103">
                  <c:v>48.57491055404585</c:v>
                </c:pt>
                <c:pt idx="104">
                  <c:v>49.189856340709845</c:v>
                </c:pt>
                <c:pt idx="105">
                  <c:v>49.727933904040853</c:v>
                </c:pt>
                <c:pt idx="106">
                  <c:v>50.342879690704848</c:v>
                </c:pt>
                <c:pt idx="107">
                  <c:v>50.880957254035849</c:v>
                </c:pt>
                <c:pt idx="108">
                  <c:v>51.26529837070084</c:v>
                </c:pt>
                <c:pt idx="109">
                  <c:v>51.495903040699844</c:v>
                </c:pt>
                <c:pt idx="110">
                  <c:v>51.880244157364835</c:v>
                </c:pt>
                <c:pt idx="111">
                  <c:v>52.41832172069585</c:v>
                </c:pt>
                <c:pt idx="112">
                  <c:v>52.725794614027841</c:v>
                </c:pt>
                <c:pt idx="113">
                  <c:v>53.18700395402584</c:v>
                </c:pt>
                <c:pt idx="114">
                  <c:v>53.801949740689835</c:v>
                </c:pt>
                <c:pt idx="115">
                  <c:v>54.493763750686831</c:v>
                </c:pt>
                <c:pt idx="116">
                  <c:v>55.031841314017839</c:v>
                </c:pt>
                <c:pt idx="117">
                  <c:v>55.723655324014835</c:v>
                </c:pt>
                <c:pt idx="118">
                  <c:v>56.261732887345829</c:v>
                </c:pt>
                <c:pt idx="119">
                  <c:v>56.799810450676837</c:v>
                </c:pt>
                <c:pt idx="120">
                  <c:v>57.337888014007838</c:v>
                </c:pt>
                <c:pt idx="121">
                  <c:v>58.029702024004834</c:v>
                </c:pt>
                <c:pt idx="122">
                  <c:v>58.798384257334831</c:v>
                </c:pt>
                <c:pt idx="123">
                  <c:v>59.336461820665825</c:v>
                </c:pt>
                <c:pt idx="124">
                  <c:v>59.874539383996826</c:v>
                </c:pt>
                <c:pt idx="125">
                  <c:v>60.489485170660828</c:v>
                </c:pt>
                <c:pt idx="126">
                  <c:v>61.181299180657824</c:v>
                </c:pt>
                <c:pt idx="127">
                  <c:v>61.642508520655831</c:v>
                </c:pt>
                <c:pt idx="128">
                  <c:v>62.257454307319833</c:v>
                </c:pt>
                <c:pt idx="129">
                  <c:v>62.795531870650819</c:v>
                </c:pt>
                <c:pt idx="130">
                  <c:v>63.256741210648819</c:v>
                </c:pt>
                <c:pt idx="131">
                  <c:v>63.717950550646812</c:v>
                </c:pt>
                <c:pt idx="132">
                  <c:v>64.179159890644826</c:v>
                </c:pt>
                <c:pt idx="133">
                  <c:v>64.717237453975827</c:v>
                </c:pt>
                <c:pt idx="134">
                  <c:v>65.101578570640825</c:v>
                </c:pt>
                <c:pt idx="135">
                  <c:v>65.71652435730482</c:v>
                </c:pt>
                <c:pt idx="136">
                  <c:v>66.100865473969819</c:v>
                </c:pt>
                <c:pt idx="137">
                  <c:v>66.63894303730082</c:v>
                </c:pt>
                <c:pt idx="138">
                  <c:v>67.253888823964814</c:v>
                </c:pt>
                <c:pt idx="139">
                  <c:v>67.638091688429569</c:v>
                </c:pt>
                <c:pt idx="140">
                  <c:v>68.17616925176057</c:v>
                </c:pt>
                <c:pt idx="141">
                  <c:v>68.791115038424564</c:v>
                </c:pt>
                <c:pt idx="142">
                  <c:v>69.329192601755565</c:v>
                </c:pt>
                <c:pt idx="143">
                  <c:v>69.867270165086566</c:v>
                </c:pt>
                <c:pt idx="144">
                  <c:v>70.405347728417567</c:v>
                </c:pt>
                <c:pt idx="145">
                  <c:v>70.943425291748568</c:v>
                </c:pt>
                <c:pt idx="146">
                  <c:v>71.404634631746575</c:v>
                </c:pt>
                <c:pt idx="147">
                  <c:v>72.01958041841057</c:v>
                </c:pt>
                <c:pt idx="148">
                  <c:v>72.634526205074565</c:v>
                </c:pt>
                <c:pt idx="149">
                  <c:v>73.172603768405537</c:v>
                </c:pt>
                <c:pt idx="150">
                  <c:v>73.710681331736566</c:v>
                </c:pt>
                <c:pt idx="151">
                  <c:v>74.325627118400561</c:v>
                </c:pt>
                <c:pt idx="152">
                  <c:v>74.940572905064542</c:v>
                </c:pt>
                <c:pt idx="153">
                  <c:v>75.555518691728551</c:v>
                </c:pt>
                <c:pt idx="154">
                  <c:v>76.247332701725554</c:v>
                </c:pt>
                <c:pt idx="155">
                  <c:v>76.862278488389549</c:v>
                </c:pt>
                <c:pt idx="156">
                  <c:v>77.40035605172055</c:v>
                </c:pt>
                <c:pt idx="157">
                  <c:v>78.092170061717539</c:v>
                </c:pt>
                <c:pt idx="158">
                  <c:v>78.55337940171556</c:v>
                </c:pt>
                <c:pt idx="159">
                  <c:v>79.091456965046547</c:v>
                </c:pt>
                <c:pt idx="160">
                  <c:v>79.629534528377548</c:v>
                </c:pt>
                <c:pt idx="161">
                  <c:v>80.090743868375554</c:v>
                </c:pt>
                <c:pt idx="162">
                  <c:v>80.628821431706541</c:v>
                </c:pt>
                <c:pt idx="163">
                  <c:v>81.166898995037556</c:v>
                </c:pt>
                <c:pt idx="164">
                  <c:v>81.704976558368557</c:v>
                </c:pt>
                <c:pt idx="165">
                  <c:v>82.243054121699544</c:v>
                </c:pt>
                <c:pt idx="166">
                  <c:v>82.934868131696547</c:v>
                </c:pt>
                <c:pt idx="167">
                  <c:v>83.396077471694539</c:v>
                </c:pt>
                <c:pt idx="168">
                  <c:v>84.011023258358534</c:v>
                </c:pt>
                <c:pt idx="169">
                  <c:v>84.779705491688532</c:v>
                </c:pt>
                <c:pt idx="170">
                  <c:v>85.702124171684531</c:v>
                </c:pt>
                <c:pt idx="171">
                  <c:v>86.317069958348526</c:v>
                </c:pt>
                <c:pt idx="172">
                  <c:v>86.778279298346547</c:v>
                </c:pt>
                <c:pt idx="173">
                  <c:v>87.008883968345529</c:v>
                </c:pt>
                <c:pt idx="174">
                  <c:v>87.316356861677519</c:v>
                </c:pt>
                <c:pt idx="175">
                  <c:v>87.623829755009538</c:v>
                </c:pt>
                <c:pt idx="176">
                  <c:v>87.85443442500852</c:v>
                </c:pt>
                <c:pt idx="177">
                  <c:v>88.315643765006527</c:v>
                </c:pt>
                <c:pt idx="178">
                  <c:v>88.77685310500452</c:v>
                </c:pt>
                <c:pt idx="179">
                  <c:v>89.161194221669533</c:v>
                </c:pt>
                <c:pt idx="180">
                  <c:v>89.545535338334531</c:v>
                </c:pt>
                <c:pt idx="181">
                  <c:v>90.083612901665532</c:v>
                </c:pt>
                <c:pt idx="182">
                  <c:v>90.467954018330516</c:v>
                </c:pt>
                <c:pt idx="183">
                  <c:v>90.929163358328523</c:v>
                </c:pt>
                <c:pt idx="184">
                  <c:v>91.390372698326516</c:v>
                </c:pt>
                <c:pt idx="185">
                  <c:v>91.851443786124278</c:v>
                </c:pt>
                <c:pt idx="186">
                  <c:v>92.389521349455293</c:v>
                </c:pt>
                <c:pt idx="187">
                  <c:v>92.773862466120278</c:v>
                </c:pt>
                <c:pt idx="188">
                  <c:v>93.388808252784287</c:v>
                </c:pt>
                <c:pt idx="189">
                  <c:v>93.773149369449285</c:v>
                </c:pt>
              </c:numCache>
            </c:numRef>
          </c:xVal>
          <c:yVal>
            <c:numRef>
              <c:f>Acceleration!$P$13:$P$202</c:f>
              <c:numCache>
                <c:formatCode>0.00000</c:formatCode>
                <c:ptCount val="190"/>
                <c:pt idx="0">
                  <c:v>2.6361661334157929</c:v>
                </c:pt>
                <c:pt idx="1">
                  <c:v>2.7007631824681235</c:v>
                </c:pt>
                <c:pt idx="2">
                  <c:v>2.7798527986444461</c:v>
                </c:pt>
                <c:pt idx="3">
                  <c:v>2.8256698203686654</c:v>
                </c:pt>
                <c:pt idx="4">
                  <c:v>2.8992852679760226</c:v>
                </c:pt>
                <c:pt idx="5">
                  <c:v>2.9416194749011257</c:v>
                </c:pt>
                <c:pt idx="6">
                  <c:v>2.9826778727420216</c:v>
                </c:pt>
                <c:pt idx="7">
                  <c:v>3.0495497092052126</c:v>
                </c:pt>
                <c:pt idx="8">
                  <c:v>3.1138276568995766</c:v>
                </c:pt>
                <c:pt idx="9">
                  <c:v>3.1502562537810674</c:v>
                </c:pt>
                <c:pt idx="10">
                  <c:v>3.1856479841064274</c:v>
                </c:pt>
                <c:pt idx="11">
                  <c:v>3.2444321301742813</c:v>
                </c:pt>
                <c:pt idx="12">
                  <c:v>3.316240681422161</c:v>
                </c:pt>
                <c:pt idx="13">
                  <c:v>3.3477952210710011</c:v>
                </c:pt>
                <c:pt idx="14">
                  <c:v>3.3634737331122597</c:v>
                </c:pt>
                <c:pt idx="15">
                  <c:v>3.430590069202295</c:v>
                </c:pt>
                <c:pt idx="16">
                  <c:v>3.4659171500846226</c:v>
                </c:pt>
                <c:pt idx="17">
                  <c:v>3.5353551333462052</c:v>
                </c:pt>
                <c:pt idx="18">
                  <c:v>3.5670747011071917</c:v>
                </c:pt>
                <c:pt idx="19">
                  <c:v>3.6121344576513716</c:v>
                </c:pt>
                <c:pt idx="20">
                  <c:v>3.6219720890329952</c:v>
                </c:pt>
                <c:pt idx="21">
                  <c:v>3.6791954982844515</c:v>
                </c:pt>
                <c:pt idx="22">
                  <c:v>3.720574645589497</c:v>
                </c:pt>
                <c:pt idx="23">
                  <c:v>3.7751382580991097</c:v>
                </c:pt>
                <c:pt idx="24">
                  <c:v>3.8139795368131955</c:v>
                </c:pt>
                <c:pt idx="25">
                  <c:v>3.8660787757611317</c:v>
                </c:pt>
                <c:pt idx="26">
                  <c:v>3.9315810616023334</c:v>
                </c:pt>
                <c:pt idx="27">
                  <c:v>3.997820966804853</c:v>
                </c:pt>
                <c:pt idx="28">
                  <c:v>4.0462473964935404</c:v>
                </c:pt>
                <c:pt idx="29">
                  <c:v>4.1239322282158728</c:v>
                </c:pt>
                <c:pt idx="30">
                  <c:v>4.1699931392925729</c:v>
                </c:pt>
                <c:pt idx="31">
                  <c:v>4.2299203360104265</c:v>
                </c:pt>
                <c:pt idx="32">
                  <c:v>4.3030364829135967</c:v>
                </c:pt>
                <c:pt idx="33">
                  <c:v>4.3457136617176531</c:v>
                </c:pt>
                <c:pt idx="34">
                  <c:v>4.4149473464806972</c:v>
                </c:pt>
                <c:pt idx="35">
                  <c:v>4.4818585817169962</c:v>
                </c:pt>
                <c:pt idx="36">
                  <c:v>4.5614608196601925</c:v>
                </c:pt>
                <c:pt idx="37">
                  <c:v>4.6117378199838219</c:v>
                </c:pt>
                <c:pt idx="38">
                  <c:v>4.6607370747994556</c:v>
                </c:pt>
                <c:pt idx="39">
                  <c:v>4.7234072875706596</c:v>
                </c:pt>
                <c:pt idx="40">
                  <c:v>4.7583987387646669</c:v>
                </c:pt>
                <c:pt idx="41">
                  <c:v>4.8076748528177911</c:v>
                </c:pt>
                <c:pt idx="42">
                  <c:v>4.8302326073887176</c:v>
                </c:pt>
                <c:pt idx="43">
                  <c:v>4.8524781694112598</c:v>
                </c:pt>
                <c:pt idx="44">
                  <c:v>4.8596552534102342</c:v>
                </c:pt>
                <c:pt idx="45">
                  <c:v>4.9218742001560365</c:v>
                </c:pt>
                <c:pt idx="46">
                  <c:v>4.9537183058981782</c:v>
                </c:pt>
                <c:pt idx="47">
                  <c:v>4.9953642977578889</c:v>
                </c:pt>
                <c:pt idx="48">
                  <c:v>5.0259041707793362</c:v>
                </c:pt>
                <c:pt idx="49">
                  <c:v>5.0559434102689291</c:v>
                </c:pt>
                <c:pt idx="50">
                  <c:v>5.1196062272225165</c:v>
                </c:pt>
                <c:pt idx="51">
                  <c:v>5.1387291905090287</c:v>
                </c:pt>
                <c:pt idx="52">
                  <c:v>5.1670385645357895</c:v>
                </c:pt>
                <c:pt idx="53">
                  <c:v>5.185622452408591</c:v>
                </c:pt>
                <c:pt idx="54">
                  <c:v>5.1894205222460892</c:v>
                </c:pt>
                <c:pt idx="55">
                  <c:v>5.2166739377921658</c:v>
                </c:pt>
                <c:pt idx="56">
                  <c:v>5.2434756098313473</c:v>
                </c:pt>
                <c:pt idx="57">
                  <c:v>5.2466642408120618</c:v>
                </c:pt>
                <c:pt idx="58">
                  <c:v>5.2727819228938815</c:v>
                </c:pt>
                <c:pt idx="59">
                  <c:v>5.2757066348658421</c:v>
                </c:pt>
                <c:pt idx="60">
                  <c:v>5.3095559925550191</c:v>
                </c:pt>
                <c:pt idx="61">
                  <c:v>5.334448968066777</c:v>
                </c:pt>
                <c:pt idx="62">
                  <c:v>5.3449393229080124</c:v>
                </c:pt>
                <c:pt idx="63">
                  <c:v>5.3770999876478074</c:v>
                </c:pt>
                <c:pt idx="64">
                  <c:v>5.3731311102034116</c:v>
                </c:pt>
                <c:pt idx="65">
                  <c:v>5.410300043271163</c:v>
                </c:pt>
                <c:pt idx="66">
                  <c:v>5.4333175470390884</c:v>
                </c:pt>
                <c:pt idx="67">
                  <c:v>5.4347704769978584</c:v>
                </c:pt>
                <c:pt idx="68">
                  <c:v>5.4436888453821837</c:v>
                </c:pt>
                <c:pt idx="69">
                  <c:v>5.480508557056849</c:v>
                </c:pt>
                <c:pt idx="70">
                  <c:v>5.5093002787276664</c:v>
                </c:pt>
                <c:pt idx="71">
                  <c:v>5.5109668326857317</c:v>
                </c:pt>
                <c:pt idx="72">
                  <c:v>5.5387750407322001</c:v>
                </c:pt>
                <c:pt idx="73">
                  <c:v>5.5461999688396419</c:v>
                </c:pt>
                <c:pt idx="74">
                  <c:v>5.566442265414989</c:v>
                </c:pt>
                <c:pt idx="75">
                  <c:v>5.586428006422385</c:v>
                </c:pt>
                <c:pt idx="76">
                  <c:v>5.5932293731675475</c:v>
                </c:pt>
                <c:pt idx="77">
                  <c:v>5.5936009370517104</c:v>
                </c:pt>
                <c:pt idx="78">
                  <c:v>5.5814273050923138</c:v>
                </c:pt>
                <c:pt idx="79">
                  <c:v>5.6005288803919138</c:v>
                </c:pt>
                <c:pt idx="80">
                  <c:v>5.5885421815455265</c:v>
                </c:pt>
                <c:pt idx="81">
                  <c:v>5.5888705372955991</c:v>
                </c:pt>
                <c:pt idx="82">
                  <c:v>5.5951564709726149</c:v>
                </c:pt>
                <c:pt idx="83">
                  <c:v>5.6012590851089579</c:v>
                </c:pt>
                <c:pt idx="84">
                  <c:v>5.5841338754708776</c:v>
                </c:pt>
                <c:pt idx="85">
                  <c:v>5.5788225760174601</c:v>
                </c:pt>
                <c:pt idx="86">
                  <c:v>5.5847732053198893</c:v>
                </c:pt>
                <c:pt idx="87">
                  <c:v>5.5849801609197618</c:v>
                </c:pt>
                <c:pt idx="88">
                  <c:v>5.5905854670763988</c:v>
                </c:pt>
                <c:pt idx="89">
                  <c:v>5.5906899008132882</c:v>
                </c:pt>
                <c:pt idx="90">
                  <c:v>5.5801010011174599</c:v>
                </c:pt>
                <c:pt idx="91">
                  <c:v>5.5645932669345584</c:v>
                </c:pt>
                <c:pt idx="92">
                  <c:v>5.590876300643064</c:v>
                </c:pt>
                <c:pt idx="93">
                  <c:v>5.5857716978180116</c:v>
                </c:pt>
                <c:pt idx="94">
                  <c:v>5.5807750250966448</c:v>
                </c:pt>
                <c:pt idx="95">
                  <c:v>5.5858592842243411</c:v>
                </c:pt>
                <c:pt idx="96">
                  <c:v>5.5759757313367633</c:v>
                </c:pt>
                <c:pt idx="97">
                  <c:v>5.5857850502044259</c:v>
                </c:pt>
                <c:pt idx="98">
                  <c:v>5.5809166563129908</c:v>
                </c:pt>
                <c:pt idx="99">
                  <c:v>5.5808474626147424</c:v>
                </c:pt>
                <c:pt idx="100">
                  <c:v>5.5901037646683767</c:v>
                </c:pt>
                <c:pt idx="101">
                  <c:v>5.5806657481911532</c:v>
                </c:pt>
                <c:pt idx="102">
                  <c:v>5.5805066913598562</c:v>
                </c:pt>
                <c:pt idx="103">
                  <c:v>5.5803726661459541</c:v>
                </c:pt>
                <c:pt idx="104">
                  <c:v>5.5890553996102961</c:v>
                </c:pt>
                <c:pt idx="105">
                  <c:v>5.5799549613341179</c:v>
                </c:pt>
                <c:pt idx="106">
                  <c:v>5.5883974612405547</c:v>
                </c:pt>
                <c:pt idx="107">
                  <c:v>5.5923512235816215</c:v>
                </c:pt>
                <c:pt idx="108">
                  <c:v>5.5877986049150383</c:v>
                </c:pt>
                <c:pt idx="109">
                  <c:v>5.5876488262899997</c:v>
                </c:pt>
                <c:pt idx="110">
                  <c:v>5.5958123655824838</c:v>
                </c:pt>
                <c:pt idx="111">
                  <c:v>5.5869799337739083</c:v>
                </c:pt>
                <c:pt idx="112">
                  <c:v>5.5908992829601676</c:v>
                </c:pt>
                <c:pt idx="113">
                  <c:v>5.5904994809195543</c:v>
                </c:pt>
                <c:pt idx="114">
                  <c:v>5.5980894550279814</c:v>
                </c:pt>
                <c:pt idx="115">
                  <c:v>5.5973296677374469</c:v>
                </c:pt>
                <c:pt idx="116">
                  <c:v>5.5887755711814497</c:v>
                </c:pt>
                <c:pt idx="117">
                  <c:v>5.5880870776772964</c:v>
                </c:pt>
                <c:pt idx="118">
                  <c:v>5.5797481482452129</c:v>
                </c:pt>
                <c:pt idx="119">
                  <c:v>5.5946634684951349</c:v>
                </c:pt>
                <c:pt idx="120">
                  <c:v>5.5749057923988499</c:v>
                </c:pt>
                <c:pt idx="121">
                  <c:v>5.5855748998501369</c:v>
                </c:pt>
                <c:pt idx="122">
                  <c:v>5.5772390498478526</c:v>
                </c:pt>
                <c:pt idx="123">
                  <c:v>5.5803418299373568</c:v>
                </c:pt>
                <c:pt idx="124">
                  <c:v>5.5833773911184945</c:v>
                </c:pt>
                <c:pt idx="125">
                  <c:v>5.5789797501369778</c:v>
                </c:pt>
                <c:pt idx="126">
                  <c:v>5.5781319136638423</c:v>
                </c:pt>
                <c:pt idx="127">
                  <c:v>5.5775480129206487</c:v>
                </c:pt>
                <c:pt idx="128">
                  <c:v>5.5837748792547925</c:v>
                </c:pt>
                <c:pt idx="129">
                  <c:v>5.5760481984898389</c:v>
                </c:pt>
                <c:pt idx="130">
                  <c:v>5.5858008113056732</c:v>
                </c:pt>
                <c:pt idx="131">
                  <c:v>5.5850936848084851</c:v>
                </c:pt>
                <c:pt idx="132">
                  <c:v>5.5843771969485392</c:v>
                </c:pt>
                <c:pt idx="133">
                  <c:v>5.5767672143111442</c:v>
                </c:pt>
                <c:pt idx="134">
                  <c:v>5.5930103831293607</c:v>
                </c:pt>
                <c:pt idx="135">
                  <c:v>5.5786026043699888</c:v>
                </c:pt>
                <c:pt idx="136">
                  <c:v>5.5846129970824823</c:v>
                </c:pt>
                <c:pt idx="137">
                  <c:v>5.5869743226962916</c:v>
                </c:pt>
                <c:pt idx="138">
                  <c:v>5.5728650791983068</c:v>
                </c:pt>
                <c:pt idx="139">
                  <c:v>5.5690273610162651</c:v>
                </c:pt>
                <c:pt idx="140">
                  <c:v>5.5521320440891992</c:v>
                </c:pt>
                <c:pt idx="141">
                  <c:v>5.5385635270800142</c:v>
                </c:pt>
                <c:pt idx="142">
                  <c:v>5.5221289750028637</c:v>
                </c:pt>
                <c:pt idx="143">
                  <c:v>5.5059210005441646</c:v>
                </c:pt>
                <c:pt idx="144">
                  <c:v>5.499254989939093</c:v>
                </c:pt>
                <c:pt idx="145">
                  <c:v>5.4834007180150124</c:v>
                </c:pt>
                <c:pt idx="146">
                  <c:v>5.4739317222752542</c:v>
                </c:pt>
                <c:pt idx="147">
                  <c:v>5.4614605192202461</c:v>
                </c:pt>
                <c:pt idx="148">
                  <c:v>5.4401310928737461</c:v>
                </c:pt>
                <c:pt idx="149">
                  <c:v>5.4250981248877377</c:v>
                </c:pt>
                <c:pt idx="150">
                  <c:v>5.4191608850420998</c:v>
                </c:pt>
                <c:pt idx="151">
                  <c:v>5.4074012429463973</c:v>
                </c:pt>
                <c:pt idx="152">
                  <c:v>5.3870432062462372</c:v>
                </c:pt>
                <c:pt idx="153">
                  <c:v>5.3756673234083729</c:v>
                </c:pt>
                <c:pt idx="154">
                  <c:v>5.3673492046751274</c:v>
                </c:pt>
                <c:pt idx="155">
                  <c:v>5.3562626701767284</c:v>
                </c:pt>
                <c:pt idx="156">
                  <c:v>5.3509084584228708</c:v>
                </c:pt>
                <c:pt idx="157">
                  <c:v>5.3344867882743356</c:v>
                </c:pt>
                <c:pt idx="158">
                  <c:v>5.3264637775332098</c:v>
                </c:pt>
                <c:pt idx="159">
                  <c:v>5.3130352790574085</c:v>
                </c:pt>
                <c:pt idx="160">
                  <c:v>5.3080140868733778</c:v>
                </c:pt>
                <c:pt idx="161">
                  <c:v>5.3002327902748503</c:v>
                </c:pt>
                <c:pt idx="162">
                  <c:v>5.2871710893227437</c:v>
                </c:pt>
                <c:pt idx="163">
                  <c:v>5.2661709925343088</c:v>
                </c:pt>
                <c:pt idx="164">
                  <c:v>5.245409853887578</c:v>
                </c:pt>
                <c:pt idx="165">
                  <c:v>5.224904759094807</c:v>
                </c:pt>
                <c:pt idx="166">
                  <c:v>5.2022810196540057</c:v>
                </c:pt>
                <c:pt idx="167">
                  <c:v>5.1795065424715814</c:v>
                </c:pt>
                <c:pt idx="168">
                  <c:v>5.1625287006690863</c:v>
                </c:pt>
                <c:pt idx="169">
                  <c:v>5.1357853563263411</c:v>
                </c:pt>
                <c:pt idx="170">
                  <c:v>5.0996714659014515</c:v>
                </c:pt>
                <c:pt idx="171">
                  <c:v>5.0835870827386911</c:v>
                </c:pt>
                <c:pt idx="172">
                  <c:v>5.0621900574102678</c:v>
                </c:pt>
                <c:pt idx="173">
                  <c:v>5.0553507049394169</c:v>
                </c:pt>
                <c:pt idx="174">
                  <c:v>5.0287196634610947</c:v>
                </c:pt>
                <c:pt idx="175">
                  <c:v>5.002277110957225</c:v>
                </c:pt>
                <c:pt idx="176">
                  <c:v>4.9881631040157846</c:v>
                </c:pt>
                <c:pt idx="177">
                  <c:v>4.9452804416025362</c:v>
                </c:pt>
                <c:pt idx="178">
                  <c:v>4.9102055515720515</c:v>
                </c:pt>
                <c:pt idx="179">
                  <c:v>4.8873805469875373</c:v>
                </c:pt>
                <c:pt idx="180">
                  <c:v>4.8500809088961079</c:v>
                </c:pt>
                <c:pt idx="181">
                  <c:v>4.8114757628978131</c:v>
                </c:pt>
                <c:pt idx="182">
                  <c:v>4.7893538939681886</c:v>
                </c:pt>
                <c:pt idx="183">
                  <c:v>4.7486026215609707</c:v>
                </c:pt>
                <c:pt idx="184">
                  <c:v>4.7154236422671234</c:v>
                </c:pt>
                <c:pt idx="185">
                  <c:v>4.6825561316078872</c:v>
                </c:pt>
                <c:pt idx="186">
                  <c:v>4.6386841089853403</c:v>
                </c:pt>
                <c:pt idx="187">
                  <c:v>4.6106737005439573</c:v>
                </c:pt>
                <c:pt idx="188">
                  <c:v>4.5634879325989761</c:v>
                </c:pt>
                <c:pt idx="189">
                  <c:v>4.5360489702059645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AE-4517-A40E-E97BFD73D680}"/>
            </c:ext>
          </c:extLst>
        </c:ser>
        <c:ser>
          <c:idx val="4"/>
          <c:order val="4"/>
          <c:tx>
            <c:v>Gear 5 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Acceleration!$R$13:$R$202</c:f>
              <c:numCache>
                <c:formatCode>0.00</c:formatCode>
                <c:ptCount val="190"/>
                <c:pt idx="0">
                  <c:v>16.486254133421042</c:v>
                </c:pt>
                <c:pt idx="1">
                  <c:v>16.669507977846912</c:v>
                </c:pt>
                <c:pt idx="2">
                  <c:v>17.036015666698656</c:v>
                </c:pt>
                <c:pt idx="3">
                  <c:v>17.310896433337465</c:v>
                </c:pt>
                <c:pt idx="4">
                  <c:v>17.677404122189213</c:v>
                </c:pt>
                <c:pt idx="5">
                  <c:v>17.952284888828011</c:v>
                </c:pt>
                <c:pt idx="6">
                  <c:v>18.22716565546682</c:v>
                </c:pt>
                <c:pt idx="7">
                  <c:v>18.593673344318564</c:v>
                </c:pt>
                <c:pt idx="8">
                  <c:v>18.960181033170308</c:v>
                </c:pt>
                <c:pt idx="9">
                  <c:v>19.235061799809117</c:v>
                </c:pt>
                <c:pt idx="10">
                  <c:v>19.509942566447926</c:v>
                </c:pt>
                <c:pt idx="11">
                  <c:v>19.876450255299666</c:v>
                </c:pt>
                <c:pt idx="12">
                  <c:v>20.151331021938471</c:v>
                </c:pt>
                <c:pt idx="13">
                  <c:v>20.42621178857728</c:v>
                </c:pt>
                <c:pt idx="14">
                  <c:v>20.792719477429024</c:v>
                </c:pt>
                <c:pt idx="15">
                  <c:v>21.067600244067837</c:v>
                </c:pt>
                <c:pt idx="16">
                  <c:v>21.525734855132516</c:v>
                </c:pt>
                <c:pt idx="17">
                  <c:v>21.983869466197191</c:v>
                </c:pt>
                <c:pt idx="18">
                  <c:v>22.442004077261871</c:v>
                </c:pt>
                <c:pt idx="19">
                  <c:v>22.808346969490927</c:v>
                </c:pt>
                <c:pt idx="20">
                  <c:v>23.174854658342671</c:v>
                </c:pt>
                <c:pt idx="21">
                  <c:v>23.44973542498148</c:v>
                </c:pt>
                <c:pt idx="22">
                  <c:v>23.816243113833224</c:v>
                </c:pt>
                <c:pt idx="23">
                  <c:v>24.091123880472029</c:v>
                </c:pt>
                <c:pt idx="24">
                  <c:v>24.457631569323773</c:v>
                </c:pt>
                <c:pt idx="25">
                  <c:v>24.732512335962582</c:v>
                </c:pt>
                <c:pt idx="26">
                  <c:v>24.915766180388452</c:v>
                </c:pt>
                <c:pt idx="27">
                  <c:v>25.2822738692402</c:v>
                </c:pt>
                <c:pt idx="28">
                  <c:v>25.557154635879002</c:v>
                </c:pt>
                <c:pt idx="29">
                  <c:v>25.83203540251781</c:v>
                </c:pt>
                <c:pt idx="30">
                  <c:v>26.106916169156619</c:v>
                </c:pt>
                <c:pt idx="31">
                  <c:v>26.473423858008363</c:v>
                </c:pt>
                <c:pt idx="32">
                  <c:v>26.748304624647169</c:v>
                </c:pt>
                <c:pt idx="33">
                  <c:v>27.023185391285974</c:v>
                </c:pt>
                <c:pt idx="34">
                  <c:v>27.481320002350657</c:v>
                </c:pt>
                <c:pt idx="35">
                  <c:v>27.939454613415336</c:v>
                </c:pt>
                <c:pt idx="36">
                  <c:v>28.30596230226708</c:v>
                </c:pt>
                <c:pt idx="37">
                  <c:v>28.67246999111882</c:v>
                </c:pt>
                <c:pt idx="38">
                  <c:v>29.038977679970561</c:v>
                </c:pt>
                <c:pt idx="39">
                  <c:v>29.31385844660937</c:v>
                </c:pt>
                <c:pt idx="40">
                  <c:v>29.588739213248179</c:v>
                </c:pt>
                <c:pt idx="41">
                  <c:v>29.771993057674045</c:v>
                </c:pt>
                <c:pt idx="42">
                  <c:v>29.955246902099923</c:v>
                </c:pt>
                <c:pt idx="43">
                  <c:v>30.138500746525793</c:v>
                </c:pt>
                <c:pt idx="44">
                  <c:v>30.413381513164598</c:v>
                </c:pt>
                <c:pt idx="45">
                  <c:v>30.505008435377537</c:v>
                </c:pt>
                <c:pt idx="46">
                  <c:v>30.779889202016346</c:v>
                </c:pt>
                <c:pt idx="47">
                  <c:v>31.146396890868083</c:v>
                </c:pt>
                <c:pt idx="48">
                  <c:v>31.421277657506892</c:v>
                </c:pt>
                <c:pt idx="49">
                  <c:v>31.6961584241457</c:v>
                </c:pt>
                <c:pt idx="50">
                  <c:v>32.062666112997448</c:v>
                </c:pt>
                <c:pt idx="51">
                  <c:v>32.245919957423311</c:v>
                </c:pt>
                <c:pt idx="52">
                  <c:v>32.52080072406212</c:v>
                </c:pt>
                <c:pt idx="53">
                  <c:v>32.704054568487997</c:v>
                </c:pt>
                <c:pt idx="54">
                  <c:v>32.978935335126806</c:v>
                </c:pt>
                <c:pt idx="55">
                  <c:v>33.253816101765615</c:v>
                </c:pt>
                <c:pt idx="56">
                  <c:v>33.528696868404417</c:v>
                </c:pt>
                <c:pt idx="57">
                  <c:v>33.803577635043226</c:v>
                </c:pt>
                <c:pt idx="58">
                  <c:v>34.078458401682035</c:v>
                </c:pt>
                <c:pt idx="59">
                  <c:v>34.353339168320844</c:v>
                </c:pt>
                <c:pt idx="60">
                  <c:v>34.719846857172584</c:v>
                </c:pt>
                <c:pt idx="61">
                  <c:v>34.9947276238114</c:v>
                </c:pt>
                <c:pt idx="62">
                  <c:v>35.361235312663133</c:v>
                </c:pt>
                <c:pt idx="63">
                  <c:v>35.727743001514881</c:v>
                </c:pt>
                <c:pt idx="64">
                  <c:v>36.18587761257956</c:v>
                </c:pt>
                <c:pt idx="65">
                  <c:v>36.369131457005423</c:v>
                </c:pt>
                <c:pt idx="66">
                  <c:v>36.644012223644232</c:v>
                </c:pt>
                <c:pt idx="67">
                  <c:v>36.918892990283041</c:v>
                </c:pt>
                <c:pt idx="68">
                  <c:v>37.285400679134796</c:v>
                </c:pt>
                <c:pt idx="69">
                  <c:v>37.743535290199461</c:v>
                </c:pt>
                <c:pt idx="70">
                  <c:v>38.110042979051215</c:v>
                </c:pt>
                <c:pt idx="71">
                  <c:v>38.659804512328826</c:v>
                </c:pt>
                <c:pt idx="72">
                  <c:v>39.026312201180566</c:v>
                </c:pt>
                <c:pt idx="73">
                  <c:v>39.392819890032307</c:v>
                </c:pt>
                <c:pt idx="74">
                  <c:v>39.667700656671116</c:v>
                </c:pt>
                <c:pt idx="75">
                  <c:v>39.942581423309925</c:v>
                </c:pt>
                <c:pt idx="76">
                  <c:v>40.309089112161672</c:v>
                </c:pt>
                <c:pt idx="77">
                  <c:v>40.858850645439283</c:v>
                </c:pt>
                <c:pt idx="78">
                  <c:v>41.500239100929839</c:v>
                </c:pt>
                <c:pt idx="79">
                  <c:v>42.05000063420745</c:v>
                </c:pt>
                <c:pt idx="80">
                  <c:v>42.691389089697999</c:v>
                </c:pt>
                <c:pt idx="81">
                  <c:v>43.24115062297561</c:v>
                </c:pt>
                <c:pt idx="82">
                  <c:v>43.882539078466166</c:v>
                </c:pt>
                <c:pt idx="83">
                  <c:v>44.523927533956716</c:v>
                </c:pt>
                <c:pt idx="84">
                  <c:v>45.348569833873142</c:v>
                </c:pt>
                <c:pt idx="85">
                  <c:v>46.081585211576623</c:v>
                </c:pt>
                <c:pt idx="86">
                  <c:v>46.72297366706718</c:v>
                </c:pt>
                <c:pt idx="87">
                  <c:v>47.27273520034479</c:v>
                </c:pt>
                <c:pt idx="88">
                  <c:v>47.639242889196531</c:v>
                </c:pt>
                <c:pt idx="89">
                  <c:v>48.189004422474149</c:v>
                </c:pt>
                <c:pt idx="90">
                  <c:v>48.830392877964698</c:v>
                </c:pt>
                <c:pt idx="91">
                  <c:v>49.655035177881125</c:v>
                </c:pt>
                <c:pt idx="92">
                  <c:v>50.113169788945797</c:v>
                </c:pt>
                <c:pt idx="93">
                  <c:v>50.846185166649292</c:v>
                </c:pt>
                <c:pt idx="94">
                  <c:v>51.579035747730089</c:v>
                </c:pt>
                <c:pt idx="95">
                  <c:v>52.220424203220645</c:v>
                </c:pt>
                <c:pt idx="96">
                  <c:v>52.861812658711187</c:v>
                </c:pt>
                <c:pt idx="97">
                  <c:v>53.594828036414675</c:v>
                </c:pt>
                <c:pt idx="98">
                  <c:v>54.327843414118156</c:v>
                </c:pt>
                <c:pt idx="99">
                  <c:v>55.152485714034583</c:v>
                </c:pt>
                <c:pt idx="100">
                  <c:v>55.885501091738071</c:v>
                </c:pt>
                <c:pt idx="101">
                  <c:v>56.52688954722862</c:v>
                </c:pt>
                <c:pt idx="102">
                  <c:v>57.35153184714504</c:v>
                </c:pt>
                <c:pt idx="103">
                  <c:v>57.901293380422665</c:v>
                </c:pt>
                <c:pt idx="104">
                  <c:v>58.634308758126153</c:v>
                </c:pt>
                <c:pt idx="105">
                  <c:v>59.275697213616702</c:v>
                </c:pt>
                <c:pt idx="106">
                  <c:v>60.00871259132019</c:v>
                </c:pt>
                <c:pt idx="107">
                  <c:v>60.65010104681074</c:v>
                </c:pt>
                <c:pt idx="108">
                  <c:v>61.108235657875412</c:v>
                </c:pt>
                <c:pt idx="109">
                  <c:v>61.383116424514228</c:v>
                </c:pt>
                <c:pt idx="110">
                  <c:v>61.8412510355789</c:v>
                </c:pt>
                <c:pt idx="111">
                  <c:v>62.482639491069449</c:v>
                </c:pt>
                <c:pt idx="112">
                  <c:v>62.849147179921196</c:v>
                </c:pt>
                <c:pt idx="113">
                  <c:v>63.398908713198814</c:v>
                </c:pt>
                <c:pt idx="114">
                  <c:v>64.131924090902288</c:v>
                </c:pt>
                <c:pt idx="115">
                  <c:v>64.956566390818708</c:v>
                </c:pt>
                <c:pt idx="116">
                  <c:v>65.597954846309278</c:v>
                </c:pt>
                <c:pt idx="117">
                  <c:v>66.422597146225698</c:v>
                </c:pt>
                <c:pt idx="118">
                  <c:v>67.06398560171624</c:v>
                </c:pt>
                <c:pt idx="119">
                  <c:v>67.705374057206782</c:v>
                </c:pt>
                <c:pt idx="120">
                  <c:v>68.346762512697353</c:v>
                </c:pt>
                <c:pt idx="121">
                  <c:v>69.171404812613773</c:v>
                </c:pt>
                <c:pt idx="122">
                  <c:v>70.087674034743131</c:v>
                </c:pt>
                <c:pt idx="123">
                  <c:v>70.729062490233673</c:v>
                </c:pt>
                <c:pt idx="124">
                  <c:v>71.37045094572423</c:v>
                </c:pt>
                <c:pt idx="125">
                  <c:v>72.10346632342771</c:v>
                </c:pt>
                <c:pt idx="126">
                  <c:v>72.92810862334413</c:v>
                </c:pt>
                <c:pt idx="127">
                  <c:v>73.477870156621748</c:v>
                </c:pt>
                <c:pt idx="128">
                  <c:v>74.210885534325243</c:v>
                </c:pt>
                <c:pt idx="129">
                  <c:v>74.852273989815799</c:v>
                </c:pt>
                <c:pt idx="130">
                  <c:v>75.402035523093403</c:v>
                </c:pt>
                <c:pt idx="131">
                  <c:v>75.951797056371007</c:v>
                </c:pt>
                <c:pt idx="132">
                  <c:v>76.501558589648624</c:v>
                </c:pt>
                <c:pt idx="133">
                  <c:v>77.142947045139195</c:v>
                </c:pt>
                <c:pt idx="134">
                  <c:v>77.60108165620386</c:v>
                </c:pt>
                <c:pt idx="135">
                  <c:v>78.334097033907355</c:v>
                </c:pt>
                <c:pt idx="136">
                  <c:v>78.792231644972034</c:v>
                </c:pt>
                <c:pt idx="137">
                  <c:v>79.433620100462591</c:v>
                </c:pt>
                <c:pt idx="138">
                  <c:v>80.166635478166071</c:v>
                </c:pt>
                <c:pt idx="139">
                  <c:v>80.624605292608052</c:v>
                </c:pt>
                <c:pt idx="140">
                  <c:v>81.265993748098609</c:v>
                </c:pt>
                <c:pt idx="141">
                  <c:v>81.999009125802104</c:v>
                </c:pt>
                <c:pt idx="142">
                  <c:v>82.640397581292646</c:v>
                </c:pt>
                <c:pt idx="143">
                  <c:v>83.281786036783203</c:v>
                </c:pt>
                <c:pt idx="144">
                  <c:v>83.923174492273745</c:v>
                </c:pt>
                <c:pt idx="145">
                  <c:v>84.564562947764287</c:v>
                </c:pt>
                <c:pt idx="146">
                  <c:v>85.114324481041919</c:v>
                </c:pt>
                <c:pt idx="147">
                  <c:v>85.8473398587454</c:v>
                </c:pt>
                <c:pt idx="148">
                  <c:v>86.580355236448895</c:v>
                </c:pt>
                <c:pt idx="149">
                  <c:v>87.221743691939437</c:v>
                </c:pt>
                <c:pt idx="150">
                  <c:v>87.86313214742998</c:v>
                </c:pt>
                <c:pt idx="151">
                  <c:v>88.596147525133489</c:v>
                </c:pt>
                <c:pt idx="152">
                  <c:v>89.32916290283697</c:v>
                </c:pt>
                <c:pt idx="153">
                  <c:v>90.062178280540451</c:v>
                </c:pt>
                <c:pt idx="154">
                  <c:v>90.88682058045687</c:v>
                </c:pt>
                <c:pt idx="155">
                  <c:v>91.619835958160351</c:v>
                </c:pt>
                <c:pt idx="156">
                  <c:v>92.261224413650908</c:v>
                </c:pt>
                <c:pt idx="157">
                  <c:v>93.085866713567327</c:v>
                </c:pt>
                <c:pt idx="158">
                  <c:v>93.635628246844945</c:v>
                </c:pt>
                <c:pt idx="159">
                  <c:v>94.277016702335516</c:v>
                </c:pt>
                <c:pt idx="160">
                  <c:v>94.918405157826044</c:v>
                </c:pt>
                <c:pt idx="161">
                  <c:v>95.468166691103676</c:v>
                </c:pt>
                <c:pt idx="162">
                  <c:v>96.109555146594218</c:v>
                </c:pt>
                <c:pt idx="163">
                  <c:v>96.750943602084774</c:v>
                </c:pt>
                <c:pt idx="164">
                  <c:v>97.392332057575331</c:v>
                </c:pt>
                <c:pt idx="165">
                  <c:v>98.033720513065873</c:v>
                </c:pt>
                <c:pt idx="166">
                  <c:v>98.858362812982293</c:v>
                </c:pt>
                <c:pt idx="167">
                  <c:v>99.408124346259896</c:v>
                </c:pt>
                <c:pt idx="168">
                  <c:v>100.14113972396339</c:v>
                </c:pt>
                <c:pt idx="169">
                  <c:v>101.05740894609274</c:v>
                </c:pt>
                <c:pt idx="170">
                  <c:v>102.15693201264799</c:v>
                </c:pt>
                <c:pt idx="171">
                  <c:v>102.88994739035147</c:v>
                </c:pt>
                <c:pt idx="172">
                  <c:v>103.43970892362908</c:v>
                </c:pt>
                <c:pt idx="173">
                  <c:v>103.71458969026789</c:v>
                </c:pt>
                <c:pt idx="174">
                  <c:v>104.08109737911963</c:v>
                </c:pt>
                <c:pt idx="175">
                  <c:v>104.44760506797138</c:v>
                </c:pt>
                <c:pt idx="176">
                  <c:v>104.72248583461018</c:v>
                </c:pt>
                <c:pt idx="177">
                  <c:v>105.27224736788781</c:v>
                </c:pt>
                <c:pt idx="178">
                  <c:v>105.82200890116542</c:v>
                </c:pt>
                <c:pt idx="179">
                  <c:v>106.28014351223008</c:v>
                </c:pt>
                <c:pt idx="180">
                  <c:v>106.73827812329478</c:v>
                </c:pt>
                <c:pt idx="181">
                  <c:v>107.37966657878532</c:v>
                </c:pt>
                <c:pt idx="182">
                  <c:v>107.83780118985</c:v>
                </c:pt>
                <c:pt idx="183">
                  <c:v>108.38756272312762</c:v>
                </c:pt>
                <c:pt idx="184">
                  <c:v>108.93732425640522</c:v>
                </c:pt>
                <c:pt idx="185">
                  <c:v>109.48692099306017</c:v>
                </c:pt>
                <c:pt idx="186">
                  <c:v>110.12830944855071</c:v>
                </c:pt>
                <c:pt idx="187">
                  <c:v>110.58644405961539</c:v>
                </c:pt>
                <c:pt idx="188">
                  <c:v>111.31945943731888</c:v>
                </c:pt>
                <c:pt idx="189">
                  <c:v>111.77759404838356</c:v>
                </c:pt>
              </c:numCache>
            </c:numRef>
          </c:xVal>
          <c:yVal>
            <c:numRef>
              <c:f>Acceleration!$T$13:$T$202</c:f>
              <c:numCache>
                <c:formatCode>0.00000</c:formatCode>
                <c:ptCount val="190"/>
                <c:pt idx="0">
                  <c:v>2.206782850961567</c:v>
                </c:pt>
                <c:pt idx="1">
                  <c:v>2.2609366617439384</c:v>
                </c:pt>
                <c:pt idx="2">
                  <c:v>2.3272090503668101</c:v>
                </c:pt>
                <c:pt idx="3">
                  <c:v>2.3655865660964688</c:v>
                </c:pt>
                <c:pt idx="4">
                  <c:v>2.4272635643738534</c:v>
                </c:pt>
                <c:pt idx="5">
                  <c:v>2.4627170303205803</c:v>
                </c:pt>
                <c:pt idx="6">
                  <c:v>2.4970992329384605</c:v>
                </c:pt>
                <c:pt idx="7">
                  <c:v>2.5531146006744119</c:v>
                </c:pt>
                <c:pt idx="8">
                  <c:v>2.6069521917716756</c:v>
                </c:pt>
                <c:pt idx="9">
                  <c:v>2.63744683630238</c:v>
                </c:pt>
                <c:pt idx="10">
                  <c:v>2.6670706726452438</c:v>
                </c:pt>
                <c:pt idx="11">
                  <c:v>2.7162951311185699</c:v>
                </c:pt>
                <c:pt idx="12">
                  <c:v>2.7764677664382624</c:v>
                </c:pt>
                <c:pt idx="13">
                  <c:v>2.8028693041045849</c:v>
                </c:pt>
                <c:pt idx="14">
                  <c:v>2.8159270792827615</c:v>
                </c:pt>
                <c:pt idx="15">
                  <c:v>2.8721601135086927</c:v>
                </c:pt>
                <c:pt idx="16">
                  <c:v>2.9016737789145983</c:v>
                </c:pt>
                <c:pt idx="17">
                  <c:v>2.9598013240109351</c:v>
                </c:pt>
                <c:pt idx="18">
                  <c:v>2.9862832539320516</c:v>
                </c:pt>
                <c:pt idx="19">
                  <c:v>3.0239804465928266</c:v>
                </c:pt>
                <c:pt idx="20">
                  <c:v>3.03212713439676</c:v>
                </c:pt>
                <c:pt idx="21">
                  <c:v>3.0800524685753539</c:v>
                </c:pt>
                <c:pt idx="22">
                  <c:v>3.1146571926213733</c:v>
                </c:pt>
                <c:pt idx="23">
                  <c:v>3.1603489284073611</c:v>
                </c:pt>
                <c:pt idx="24">
                  <c:v>3.1928216010156145</c:v>
                </c:pt>
                <c:pt idx="25">
                  <c:v>3.2364436840299429</c:v>
                </c:pt>
                <c:pt idx="26">
                  <c:v>3.2913378481409428</c:v>
                </c:pt>
                <c:pt idx="27">
                  <c:v>3.346792130877831</c:v>
                </c:pt>
                <c:pt idx="28">
                  <c:v>3.3873301369873166</c:v>
                </c:pt>
                <c:pt idx="29">
                  <c:v>3.4524128286923284</c:v>
                </c:pt>
                <c:pt idx="30">
                  <c:v>3.4909644319330737</c:v>
                </c:pt>
                <c:pt idx="31">
                  <c:v>3.5411173080556546</c:v>
                </c:pt>
                <c:pt idx="32">
                  <c:v>3.6023640315013723</c:v>
                </c:pt>
                <c:pt idx="33">
                  <c:v>3.6380737541896346</c:v>
                </c:pt>
                <c:pt idx="34">
                  <c:v>3.6959981190663251</c:v>
                </c:pt>
                <c:pt idx="35">
                  <c:v>3.7519714710948566</c:v>
                </c:pt>
                <c:pt idx="36">
                  <c:v>3.8186217770017445</c:v>
                </c:pt>
                <c:pt idx="37">
                  <c:v>3.8606686780394623</c:v>
                </c:pt>
                <c:pt idx="38">
                  <c:v>3.9016419494693872</c:v>
                </c:pt>
                <c:pt idx="39">
                  <c:v>3.9541164042066033</c:v>
                </c:pt>
                <c:pt idx="40">
                  <c:v>3.983369467684617</c:v>
                </c:pt>
                <c:pt idx="41">
                  <c:v>4.0246398391695095</c:v>
                </c:pt>
                <c:pt idx="42">
                  <c:v>4.0434950556809808</c:v>
                </c:pt>
                <c:pt idx="43">
                  <c:v>4.062087941827933</c:v>
                </c:pt>
                <c:pt idx="44">
                  <c:v>4.0680039435556434</c:v>
                </c:pt>
                <c:pt idx="45">
                  <c:v>4.1201658206330158</c:v>
                </c:pt>
                <c:pt idx="46">
                  <c:v>4.1467743609553569</c:v>
                </c:pt>
                <c:pt idx="47">
                  <c:v>4.1815690387470852</c:v>
                </c:pt>
                <c:pt idx="48">
                  <c:v>4.2070811988153691</c:v>
                </c:pt>
                <c:pt idx="49">
                  <c:v>4.232172410615509</c:v>
                </c:pt>
                <c:pt idx="50">
                  <c:v>4.2854333406158354</c:v>
                </c:pt>
                <c:pt idx="51">
                  <c:v>4.3014017225124208</c:v>
                </c:pt>
                <c:pt idx="52">
                  <c:v>4.3250388438141085</c:v>
                </c:pt>
                <c:pt idx="53">
                  <c:v>4.3405539215756104</c:v>
                </c:pt>
                <c:pt idx="54">
                  <c:v>4.3436262787311373</c:v>
                </c:pt>
                <c:pt idx="55">
                  <c:v>4.3663749856390144</c:v>
                </c:pt>
                <c:pt idx="56">
                  <c:v>4.3887437594003593</c:v>
                </c:pt>
                <c:pt idx="57">
                  <c:v>4.3913019812638474</c:v>
                </c:pt>
                <c:pt idx="58">
                  <c:v>4.4130950305579812</c:v>
                </c:pt>
                <c:pt idx="59">
                  <c:v>4.4154299364681959</c:v>
                </c:pt>
                <c:pt idx="60">
                  <c:v>4.4436672830776196</c:v>
                </c:pt>
                <c:pt idx="61">
                  <c:v>4.464429714992578</c:v>
                </c:pt>
                <c:pt idx="62">
                  <c:v>4.4730676156533473</c:v>
                </c:pt>
                <c:pt idx="63">
                  <c:v>4.4998836110406844</c:v>
                </c:pt>
                <c:pt idx="64">
                  <c:v>4.4963460965679962</c:v>
                </c:pt>
                <c:pt idx="65">
                  <c:v>4.5274441779138188</c:v>
                </c:pt>
                <c:pt idx="66">
                  <c:v>4.5466275053266942</c:v>
                </c:pt>
                <c:pt idx="67">
                  <c:v>4.5477187936347585</c:v>
                </c:pt>
                <c:pt idx="68">
                  <c:v>4.555029012562744</c:v>
                </c:pt>
                <c:pt idx="69">
                  <c:v>4.5857011060086501</c:v>
                </c:pt>
                <c:pt idx="70">
                  <c:v>4.6096797864059225</c:v>
                </c:pt>
                <c:pt idx="71">
                  <c:v>4.6108115503792826</c:v>
                </c:pt>
                <c:pt idx="72">
                  <c:v>4.6339608968121517</c:v>
                </c:pt>
                <c:pt idx="73">
                  <c:v>4.6400084807252915</c:v>
                </c:pt>
                <c:pt idx="74">
                  <c:v>4.6568531235457939</c:v>
                </c:pt>
                <c:pt idx="75">
                  <c:v>4.6734815814906892</c:v>
                </c:pt>
                <c:pt idx="76">
                  <c:v>4.6790018048136428</c:v>
                </c:pt>
                <c:pt idx="77">
                  <c:v>4.679031908607219</c:v>
                </c:pt>
                <c:pt idx="78">
                  <c:v>4.6684857626424856</c:v>
                </c:pt>
                <c:pt idx="79">
                  <c:v>4.68422069790926</c:v>
                </c:pt>
                <c:pt idx="80">
                  <c:v>4.6738217321154396</c:v>
                </c:pt>
                <c:pt idx="81">
                  <c:v>4.6737990567707097</c:v>
                </c:pt>
                <c:pt idx="82">
                  <c:v>4.6787198377672601</c:v>
                </c:pt>
                <c:pt idx="83">
                  <c:v>4.6834816348664345</c:v>
                </c:pt>
                <c:pt idx="84">
                  <c:v>4.6686471314597808</c:v>
                </c:pt>
                <c:pt idx="85">
                  <c:v>4.6637683893719117</c:v>
                </c:pt>
                <c:pt idx="86">
                  <c:v>4.6683848801195307</c:v>
                </c:pt>
                <c:pt idx="87">
                  <c:v>4.6682323839742415</c:v>
                </c:pt>
                <c:pt idx="88">
                  <c:v>4.6727152916274735</c:v>
                </c:pt>
                <c:pt idx="89">
                  <c:v>4.6724704292449184</c:v>
                </c:pt>
                <c:pt idx="90">
                  <c:v>4.663194415668146</c:v>
                </c:pt>
                <c:pt idx="91">
                  <c:v>4.6496720311186603</c:v>
                </c:pt>
                <c:pt idx="92">
                  <c:v>4.6714331025433466</c:v>
                </c:pt>
                <c:pt idx="93">
                  <c:v>4.6666836817907491</c:v>
                </c:pt>
                <c:pt idx="94">
                  <c:v>4.6620181318859384</c:v>
                </c:pt>
                <c:pt idx="95">
                  <c:v>4.6658632976106409</c:v>
                </c:pt>
                <c:pt idx="96">
                  <c:v>4.6571463817243783</c:v>
                </c:pt>
                <c:pt idx="97">
                  <c:v>4.6648832099170932</c:v>
                </c:pt>
                <c:pt idx="98">
                  <c:v>4.6602997388673151</c:v>
                </c:pt>
                <c:pt idx="99">
                  <c:v>4.6596719300751772</c:v>
                </c:pt>
                <c:pt idx="100">
                  <c:v>4.6669236247778407</c:v>
                </c:pt>
                <c:pt idx="101">
                  <c:v>4.6585508105541562</c:v>
                </c:pt>
                <c:pt idx="102">
                  <c:v>4.6578247245609692</c:v>
                </c:pt>
                <c:pt idx="103">
                  <c:v>4.6573124194593198</c:v>
                </c:pt>
                <c:pt idx="104">
                  <c:v>4.664057500607762</c:v>
                </c:pt>
                <c:pt idx="105">
                  <c:v>4.6559456367025591</c:v>
                </c:pt>
                <c:pt idx="106">
                  <c:v>4.6624764637053859</c:v>
                </c:pt>
                <c:pt idx="107">
                  <c:v>4.6653049839499587</c:v>
                </c:pt>
                <c:pt idx="108">
                  <c:v>4.6611336408129498</c:v>
                </c:pt>
                <c:pt idx="109">
                  <c:v>4.6607954967063705</c:v>
                </c:pt>
                <c:pt idx="110">
                  <c:v>4.6672878326782925</c:v>
                </c:pt>
                <c:pt idx="111">
                  <c:v>4.659374844731655</c:v>
                </c:pt>
                <c:pt idx="112">
                  <c:v>4.6623729982590802</c:v>
                </c:pt>
                <c:pt idx="113">
                  <c:v>4.661599578243238</c:v>
                </c:pt>
                <c:pt idx="114">
                  <c:v>4.6673770512619939</c:v>
                </c:pt>
                <c:pt idx="115">
                  <c:v>4.6660678401240299</c:v>
                </c:pt>
                <c:pt idx="116">
                  <c:v>4.6583631349863692</c:v>
                </c:pt>
                <c:pt idx="117">
                  <c:v>4.6570984749608044</c:v>
                </c:pt>
                <c:pt idx="118">
                  <c:v>4.6495624109577829</c:v>
                </c:pt>
                <c:pt idx="119">
                  <c:v>4.6615297533448707</c:v>
                </c:pt>
                <c:pt idx="120">
                  <c:v>4.6444038192124886</c:v>
                </c:pt>
                <c:pt idx="121">
                  <c:v>4.6526387370746614</c:v>
                </c:pt>
                <c:pt idx="122">
                  <c:v>4.6448403123939261</c:v>
                </c:pt>
                <c:pt idx="123">
                  <c:v>4.6468733274957961</c:v>
                </c:pt>
                <c:pt idx="124">
                  <c:v>4.648844758559604</c:v>
                </c:pt>
                <c:pt idx="125">
                  <c:v>4.6444917551394171</c:v>
                </c:pt>
                <c:pt idx="126">
                  <c:v>4.6430257058210511</c:v>
                </c:pt>
                <c:pt idx="127">
                  <c:v>4.6420279029924947</c:v>
                </c:pt>
                <c:pt idx="128">
                  <c:v>4.6465685790975035</c:v>
                </c:pt>
                <c:pt idx="129">
                  <c:v>4.6394830967274006</c:v>
                </c:pt>
                <c:pt idx="130">
                  <c:v>4.6471435139543615</c:v>
                </c:pt>
                <c:pt idx="131">
                  <c:v>4.6460251673154476</c:v>
                </c:pt>
                <c:pt idx="132">
                  <c:v>4.6448951524065176</c:v>
                </c:pt>
                <c:pt idx="133">
                  <c:v>4.6378890270915392</c:v>
                </c:pt>
                <c:pt idx="134">
                  <c:v>4.6510684449505781</c:v>
                </c:pt>
                <c:pt idx="135">
                  <c:v>4.6382600294074985</c:v>
                </c:pt>
                <c:pt idx="136">
                  <c:v>4.642848015760487</c:v>
                </c:pt>
                <c:pt idx="137">
                  <c:v>4.6441885378728216</c:v>
                </c:pt>
                <c:pt idx="138">
                  <c:v>4.6316136168066668</c:v>
                </c:pt>
                <c:pt idx="139">
                  <c:v>4.6279293362574521</c:v>
                </c:pt>
                <c:pt idx="140">
                  <c:v>4.6131001229965474</c:v>
                </c:pt>
                <c:pt idx="141">
                  <c:v>4.60096187849192</c:v>
                </c:pt>
                <c:pt idx="142">
                  <c:v>4.5865080864887373</c:v>
                </c:pt>
                <c:pt idx="143">
                  <c:v>4.5722391840438199</c:v>
                </c:pt>
                <c:pt idx="144">
                  <c:v>4.5659700924954052</c:v>
                </c:pt>
                <c:pt idx="145">
                  <c:v>4.5519875356919517</c:v>
                </c:pt>
                <c:pt idx="146">
                  <c:v>4.5434550491219632</c:v>
                </c:pt>
                <c:pt idx="147">
                  <c:v>4.5322017654226272</c:v>
                </c:pt>
                <c:pt idx="148">
                  <c:v>4.513510304517375</c:v>
                </c:pt>
                <c:pt idx="149">
                  <c:v>4.5001952499768096</c:v>
                </c:pt>
                <c:pt idx="150">
                  <c:v>4.4945056475129048</c:v>
                </c:pt>
                <c:pt idx="151">
                  <c:v>4.4838238790752847</c:v>
                </c:pt>
                <c:pt idx="152">
                  <c:v>4.4659219105181895</c:v>
                </c:pt>
                <c:pt idx="153">
                  <c:v>4.4555485241123884</c:v>
                </c:pt>
                <c:pt idx="154">
                  <c:v>4.4476285370797415</c:v>
                </c:pt>
                <c:pt idx="155">
                  <c:v>4.4374834811867796</c:v>
                </c:pt>
                <c:pt idx="156">
                  <c:v>4.4322473916570218</c:v>
                </c:pt>
                <c:pt idx="157">
                  <c:v>4.4175062345690943</c:v>
                </c:pt>
                <c:pt idx="158">
                  <c:v>4.4101276936069729</c:v>
                </c:pt>
                <c:pt idx="159">
                  <c:v>4.3981015548342155</c:v>
                </c:pt>
                <c:pt idx="160">
                  <c:v>4.3931233330302328</c:v>
                </c:pt>
                <c:pt idx="161">
                  <c:v>4.3859348564631837</c:v>
                </c:pt>
                <c:pt idx="162">
                  <c:v>4.3742015984869189</c:v>
                </c:pt>
                <c:pt idx="163">
                  <c:v>4.3558034201236353</c:v>
                </c:pt>
                <c:pt idx="164">
                  <c:v>4.3376005176636294</c:v>
                </c:pt>
                <c:pt idx="165">
                  <c:v>4.3196072247581201</c:v>
                </c:pt>
                <c:pt idx="166">
                  <c:v>4.2996029066550081</c:v>
                </c:pt>
                <c:pt idx="167">
                  <c:v>4.2798089192164976</c:v>
                </c:pt>
                <c:pt idx="168">
                  <c:v>4.2646426526835697</c:v>
                </c:pt>
                <c:pt idx="169">
                  <c:v>4.2410435358535032</c:v>
                </c:pt>
                <c:pt idx="170">
                  <c:v>4.2093365500738402</c:v>
                </c:pt>
                <c:pt idx="171">
                  <c:v>4.1948943975278228</c:v>
                </c:pt>
                <c:pt idx="172">
                  <c:v>4.1762280154667701</c:v>
                </c:pt>
                <c:pt idx="173">
                  <c:v>4.1701309443923655</c:v>
                </c:pt>
                <c:pt idx="174">
                  <c:v>4.147308837424073</c:v>
                </c:pt>
                <c:pt idx="175">
                  <c:v>4.1246431633332712</c:v>
                </c:pt>
                <c:pt idx="176">
                  <c:v>4.1124396973334489</c:v>
                </c:pt>
                <c:pt idx="177">
                  <c:v>4.0757357360203024</c:v>
                </c:pt>
                <c:pt idx="178">
                  <c:v>4.0455781045458012</c:v>
                </c:pt>
                <c:pt idx="179">
                  <c:v>4.0258163732335479</c:v>
                </c:pt>
                <c:pt idx="180">
                  <c:v>3.9939088438548689</c:v>
                </c:pt>
                <c:pt idx="181">
                  <c:v>3.9606552844742344</c:v>
                </c:pt>
                <c:pt idx="182">
                  <c:v>3.9414744249529114</c:v>
                </c:pt>
                <c:pt idx="183">
                  <c:v>3.9065369254298625</c:v>
                </c:pt>
                <c:pt idx="184">
                  <c:v>3.8779482060228112</c:v>
                </c:pt>
                <c:pt idx="185">
                  <c:v>3.8496171987639611</c:v>
                </c:pt>
                <c:pt idx="186">
                  <c:v>3.8119228671891823</c:v>
                </c:pt>
                <c:pt idx="187">
                  <c:v>3.7877860637874514</c:v>
                </c:pt>
                <c:pt idx="188">
                  <c:v>3.7471741559970644</c:v>
                </c:pt>
                <c:pt idx="189">
                  <c:v>3.7235098658494303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5AE-4517-A40E-E97BFD73D680}"/>
            </c:ext>
          </c:extLst>
        </c:ser>
        <c:ser>
          <c:idx val="5"/>
          <c:order val="5"/>
          <c:tx>
            <c:v>Gear 6 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Acceleration!$V$13:$V$202</c:f>
              <c:numCache>
                <c:formatCode>0.00</c:formatCode>
                <c:ptCount val="190"/>
                <c:pt idx="0">
                  <c:v>48.800348141013629</c:v>
                </c:pt>
                <c:pt idx="1">
                  <c:v>49.342791035184042</c:v>
                </c:pt>
                <c:pt idx="2">
                  <c:v>50.427676823524834</c:v>
                </c:pt>
                <c:pt idx="3">
                  <c:v>51.241341164780451</c:v>
                </c:pt>
                <c:pt idx="4">
                  <c:v>52.326226953121257</c:v>
                </c:pt>
                <c:pt idx="5">
                  <c:v>53.139891294376852</c:v>
                </c:pt>
                <c:pt idx="6">
                  <c:v>53.953555635632455</c:v>
                </c:pt>
                <c:pt idx="7">
                  <c:v>55.038441423973268</c:v>
                </c:pt>
                <c:pt idx="8">
                  <c:v>56.123327212314081</c:v>
                </c:pt>
                <c:pt idx="9">
                  <c:v>56.936991553569683</c:v>
                </c:pt>
                <c:pt idx="10">
                  <c:v>57.750655894825293</c:v>
                </c:pt>
                <c:pt idx="11">
                  <c:v>58.835541683166099</c:v>
                </c:pt>
                <c:pt idx="12">
                  <c:v>59.649206024421694</c:v>
                </c:pt>
                <c:pt idx="13">
                  <c:v>60.462870365677304</c:v>
                </c:pt>
                <c:pt idx="14">
                  <c:v>61.54775615401811</c:v>
                </c:pt>
                <c:pt idx="15">
                  <c:v>62.361420495273734</c:v>
                </c:pt>
                <c:pt idx="16">
                  <c:v>63.717527730699729</c:v>
                </c:pt>
                <c:pt idx="17">
                  <c:v>65.073634966125738</c:v>
                </c:pt>
                <c:pt idx="18">
                  <c:v>66.429742201551747</c:v>
                </c:pt>
                <c:pt idx="19">
                  <c:v>67.514140181534486</c:v>
                </c:pt>
                <c:pt idx="20">
                  <c:v>68.599025969875285</c:v>
                </c:pt>
                <c:pt idx="21">
                  <c:v>69.412690311130902</c:v>
                </c:pt>
                <c:pt idx="22">
                  <c:v>70.497576099471701</c:v>
                </c:pt>
                <c:pt idx="23">
                  <c:v>71.311240440727303</c:v>
                </c:pt>
                <c:pt idx="24">
                  <c:v>72.396126229068116</c:v>
                </c:pt>
                <c:pt idx="25">
                  <c:v>73.209790570323719</c:v>
                </c:pt>
                <c:pt idx="26">
                  <c:v>73.752233464494125</c:v>
                </c:pt>
                <c:pt idx="27">
                  <c:v>74.837119252834938</c:v>
                </c:pt>
                <c:pt idx="28">
                  <c:v>75.650783594090527</c:v>
                </c:pt>
                <c:pt idx="29">
                  <c:v>76.464447935346129</c:v>
                </c:pt>
                <c:pt idx="30">
                  <c:v>77.278112276601746</c:v>
                </c:pt>
                <c:pt idx="31">
                  <c:v>78.362998064942559</c:v>
                </c:pt>
                <c:pt idx="32">
                  <c:v>79.176662406198147</c:v>
                </c:pt>
                <c:pt idx="33">
                  <c:v>79.990326747453764</c:v>
                </c:pt>
                <c:pt idx="34">
                  <c:v>81.346433982879759</c:v>
                </c:pt>
                <c:pt idx="35">
                  <c:v>82.702541218305782</c:v>
                </c:pt>
                <c:pt idx="36">
                  <c:v>83.787427006646595</c:v>
                </c:pt>
                <c:pt idx="37">
                  <c:v>84.87231279498738</c:v>
                </c:pt>
                <c:pt idx="38">
                  <c:v>85.957198583328207</c:v>
                </c:pt>
                <c:pt idx="39">
                  <c:v>86.77086292458381</c:v>
                </c:pt>
                <c:pt idx="40">
                  <c:v>87.584527265839412</c:v>
                </c:pt>
                <c:pt idx="41">
                  <c:v>88.12697016000979</c:v>
                </c:pt>
                <c:pt idx="42">
                  <c:v>88.669413054180225</c:v>
                </c:pt>
                <c:pt idx="43">
                  <c:v>89.211855948350617</c:v>
                </c:pt>
                <c:pt idx="44">
                  <c:v>90.025520289606234</c:v>
                </c:pt>
                <c:pt idx="45">
                  <c:v>90.296741736691416</c:v>
                </c:pt>
                <c:pt idx="46">
                  <c:v>91.110406077947033</c:v>
                </c:pt>
                <c:pt idx="47">
                  <c:v>92.195291866287832</c:v>
                </c:pt>
                <c:pt idx="48">
                  <c:v>93.008956207543449</c:v>
                </c:pt>
                <c:pt idx="49">
                  <c:v>93.822620548799051</c:v>
                </c:pt>
                <c:pt idx="50">
                  <c:v>94.90750633713985</c:v>
                </c:pt>
                <c:pt idx="51">
                  <c:v>95.449949231310256</c:v>
                </c:pt>
                <c:pt idx="52">
                  <c:v>96.263613572565873</c:v>
                </c:pt>
                <c:pt idx="53">
                  <c:v>96.806056466736266</c:v>
                </c:pt>
                <c:pt idx="54">
                  <c:v>97.619720807991882</c:v>
                </c:pt>
                <c:pt idx="55">
                  <c:v>98.433385149247471</c:v>
                </c:pt>
                <c:pt idx="56">
                  <c:v>99.247049490503073</c:v>
                </c:pt>
                <c:pt idx="57">
                  <c:v>100.06071383175869</c:v>
                </c:pt>
                <c:pt idx="58">
                  <c:v>100.87437817301428</c:v>
                </c:pt>
                <c:pt idx="59">
                  <c:v>101.68804251426991</c:v>
                </c:pt>
                <c:pt idx="60">
                  <c:v>102.77292830261069</c:v>
                </c:pt>
                <c:pt idx="61">
                  <c:v>103.58659264386633</c:v>
                </c:pt>
                <c:pt idx="62">
                  <c:v>104.67147843220712</c:v>
                </c:pt>
                <c:pt idx="63">
                  <c:v>105.75636422054791</c:v>
                </c:pt>
                <c:pt idx="64">
                  <c:v>107.11247145597393</c:v>
                </c:pt>
                <c:pt idx="65">
                  <c:v>107.65491435014432</c:v>
                </c:pt>
                <c:pt idx="66">
                  <c:v>108.46857869139996</c:v>
                </c:pt>
                <c:pt idx="67">
                  <c:v>109.28224303265554</c:v>
                </c:pt>
                <c:pt idx="68">
                  <c:v>110.36712882099637</c:v>
                </c:pt>
                <c:pt idx="69">
                  <c:v>111.72323605642235</c:v>
                </c:pt>
                <c:pt idx="70">
                  <c:v>112.80812184476318</c:v>
                </c:pt>
                <c:pt idx="71">
                  <c:v>114.43545052727436</c:v>
                </c:pt>
                <c:pt idx="72">
                  <c:v>115.52033631561518</c:v>
                </c:pt>
                <c:pt idx="73">
                  <c:v>116.60522210395598</c:v>
                </c:pt>
                <c:pt idx="74">
                  <c:v>117.41888644521161</c:v>
                </c:pt>
                <c:pt idx="75">
                  <c:v>118.2325507864672</c:v>
                </c:pt>
                <c:pt idx="76">
                  <c:v>119.31743657480801</c:v>
                </c:pt>
                <c:pt idx="77">
                  <c:v>120.9447652573192</c:v>
                </c:pt>
                <c:pt idx="78">
                  <c:v>122.84331538691563</c:v>
                </c:pt>
                <c:pt idx="79">
                  <c:v>124.47064406942685</c:v>
                </c:pt>
                <c:pt idx="80">
                  <c:v>126.36919419902326</c:v>
                </c:pt>
                <c:pt idx="81">
                  <c:v>127.99652288153445</c:v>
                </c:pt>
                <c:pt idx="82">
                  <c:v>129.89507301113088</c:v>
                </c:pt>
                <c:pt idx="83">
                  <c:v>131.79362314072728</c:v>
                </c:pt>
                <c:pt idx="84">
                  <c:v>134.23461616449413</c:v>
                </c:pt>
                <c:pt idx="85">
                  <c:v>136.4043877411757</c:v>
                </c:pt>
                <c:pt idx="86">
                  <c:v>138.30293787077213</c:v>
                </c:pt>
                <c:pt idx="87">
                  <c:v>139.93026655328333</c:v>
                </c:pt>
                <c:pt idx="88">
                  <c:v>141.01515234162414</c:v>
                </c:pt>
                <c:pt idx="89">
                  <c:v>142.64248102413538</c:v>
                </c:pt>
                <c:pt idx="90">
                  <c:v>144.54103115373178</c:v>
                </c:pt>
                <c:pt idx="91">
                  <c:v>146.9820241774986</c:v>
                </c:pt>
                <c:pt idx="92">
                  <c:v>148.33813141292458</c:v>
                </c:pt>
                <c:pt idx="93">
                  <c:v>150.50790298960621</c:v>
                </c:pt>
                <c:pt idx="94">
                  <c:v>152.67718675792975</c:v>
                </c:pt>
                <c:pt idx="95">
                  <c:v>154.57573688752615</c:v>
                </c:pt>
                <c:pt idx="96">
                  <c:v>156.47428701712255</c:v>
                </c:pt>
                <c:pt idx="97">
                  <c:v>158.6440585938042</c:v>
                </c:pt>
                <c:pt idx="98">
                  <c:v>160.8138301704858</c:v>
                </c:pt>
                <c:pt idx="99">
                  <c:v>163.25482319425262</c:v>
                </c:pt>
                <c:pt idx="100">
                  <c:v>165.42459477093422</c:v>
                </c:pt>
                <c:pt idx="101">
                  <c:v>167.32314490053062</c:v>
                </c:pt>
                <c:pt idx="102">
                  <c:v>169.76413792429747</c:v>
                </c:pt>
                <c:pt idx="103">
                  <c:v>171.39146660680868</c:v>
                </c:pt>
                <c:pt idx="104">
                  <c:v>173.5612381834903</c:v>
                </c:pt>
                <c:pt idx="105">
                  <c:v>175.4597883130867</c:v>
                </c:pt>
                <c:pt idx="106">
                  <c:v>177.6295598897683</c:v>
                </c:pt>
                <c:pt idx="107">
                  <c:v>179.52811001936473</c:v>
                </c:pt>
                <c:pt idx="108">
                  <c:v>180.88421725479071</c:v>
                </c:pt>
                <c:pt idx="109">
                  <c:v>181.69788159604636</c:v>
                </c:pt>
                <c:pt idx="110">
                  <c:v>183.05398883147234</c:v>
                </c:pt>
                <c:pt idx="111">
                  <c:v>184.95253896106877</c:v>
                </c:pt>
                <c:pt idx="112">
                  <c:v>186.03742474940952</c:v>
                </c:pt>
                <c:pt idx="113">
                  <c:v>187.66475343192076</c:v>
                </c:pt>
                <c:pt idx="114">
                  <c:v>189.83452500860236</c:v>
                </c:pt>
                <c:pt idx="115">
                  <c:v>192.27551803236921</c:v>
                </c:pt>
                <c:pt idx="116">
                  <c:v>194.17406816196561</c:v>
                </c:pt>
                <c:pt idx="117">
                  <c:v>196.61506118573243</c:v>
                </c:pt>
                <c:pt idx="118">
                  <c:v>198.51361131532886</c:v>
                </c:pt>
                <c:pt idx="119">
                  <c:v>200.41216144492526</c:v>
                </c:pt>
                <c:pt idx="120">
                  <c:v>202.31071157452169</c:v>
                </c:pt>
                <c:pt idx="121">
                  <c:v>204.75170459828848</c:v>
                </c:pt>
                <c:pt idx="122">
                  <c:v>207.4639190691405</c:v>
                </c:pt>
                <c:pt idx="123">
                  <c:v>209.3624691987369</c:v>
                </c:pt>
                <c:pt idx="124">
                  <c:v>211.26101932833333</c:v>
                </c:pt>
                <c:pt idx="125">
                  <c:v>213.43079090501496</c:v>
                </c:pt>
                <c:pt idx="126">
                  <c:v>215.87178392878175</c:v>
                </c:pt>
                <c:pt idx="127">
                  <c:v>217.49911261129293</c:v>
                </c:pt>
                <c:pt idx="128">
                  <c:v>219.66888418797458</c:v>
                </c:pt>
                <c:pt idx="129">
                  <c:v>221.56743431757101</c:v>
                </c:pt>
                <c:pt idx="130">
                  <c:v>223.19476300008219</c:v>
                </c:pt>
                <c:pt idx="131">
                  <c:v>224.8220916825934</c:v>
                </c:pt>
                <c:pt idx="132">
                  <c:v>226.44942036510463</c:v>
                </c:pt>
                <c:pt idx="133">
                  <c:v>228.34797049470106</c:v>
                </c:pt>
                <c:pt idx="134">
                  <c:v>229.70407773012701</c:v>
                </c:pt>
                <c:pt idx="135">
                  <c:v>231.87384930680867</c:v>
                </c:pt>
                <c:pt idx="136">
                  <c:v>233.2299565422347</c:v>
                </c:pt>
                <c:pt idx="137">
                  <c:v>235.1285066718311</c:v>
                </c:pt>
                <c:pt idx="138">
                  <c:v>237.2982782485127</c:v>
                </c:pt>
                <c:pt idx="139">
                  <c:v>238.65389767558062</c:v>
                </c:pt>
                <c:pt idx="140">
                  <c:v>240.55244780517702</c:v>
                </c:pt>
                <c:pt idx="141">
                  <c:v>242.72221938185871</c:v>
                </c:pt>
                <c:pt idx="142">
                  <c:v>244.62076951145505</c:v>
                </c:pt>
                <c:pt idx="143">
                  <c:v>246.51931964105151</c:v>
                </c:pt>
                <c:pt idx="144">
                  <c:v>248.41786977064785</c:v>
                </c:pt>
                <c:pt idx="145">
                  <c:v>250.31641990024431</c:v>
                </c:pt>
                <c:pt idx="146">
                  <c:v>251.94374858275549</c:v>
                </c:pt>
                <c:pt idx="147">
                  <c:v>254.11352015943714</c:v>
                </c:pt>
                <c:pt idx="148">
                  <c:v>256.28329173611877</c:v>
                </c:pt>
                <c:pt idx="149">
                  <c:v>258.18184186571511</c:v>
                </c:pt>
                <c:pt idx="150">
                  <c:v>260.08039199531157</c:v>
                </c:pt>
                <c:pt idx="151">
                  <c:v>262.2501635719932</c:v>
                </c:pt>
                <c:pt idx="152">
                  <c:v>264.41993514867477</c:v>
                </c:pt>
                <c:pt idx="153">
                  <c:v>266.58970672535639</c:v>
                </c:pt>
                <c:pt idx="154">
                  <c:v>269.03069974912319</c:v>
                </c:pt>
                <c:pt idx="155">
                  <c:v>271.20047132580481</c:v>
                </c:pt>
                <c:pt idx="156">
                  <c:v>273.09902145540121</c:v>
                </c:pt>
                <c:pt idx="157">
                  <c:v>275.54001447916806</c:v>
                </c:pt>
                <c:pt idx="158">
                  <c:v>277.1673431616793</c:v>
                </c:pt>
                <c:pt idx="159">
                  <c:v>279.0658932912757</c:v>
                </c:pt>
                <c:pt idx="160">
                  <c:v>280.9644434208721</c:v>
                </c:pt>
                <c:pt idx="161">
                  <c:v>282.59177210338328</c:v>
                </c:pt>
                <c:pt idx="162">
                  <c:v>284.49032223297974</c:v>
                </c:pt>
                <c:pt idx="163">
                  <c:v>286.38887236257614</c:v>
                </c:pt>
                <c:pt idx="164">
                  <c:v>288.2874224921726</c:v>
                </c:pt>
                <c:pt idx="165">
                  <c:v>290.18597262176894</c:v>
                </c:pt>
                <c:pt idx="166">
                  <c:v>292.62696564553573</c:v>
                </c:pt>
                <c:pt idx="167">
                  <c:v>294.25429432804697</c:v>
                </c:pt>
                <c:pt idx="168">
                  <c:v>296.42406590472859</c:v>
                </c:pt>
                <c:pt idx="169">
                  <c:v>299.13628037558061</c:v>
                </c:pt>
                <c:pt idx="170">
                  <c:v>302.39093774060308</c:v>
                </c:pt>
                <c:pt idx="171">
                  <c:v>304.56070931728465</c:v>
                </c:pt>
                <c:pt idx="172">
                  <c:v>306.18803799979588</c:v>
                </c:pt>
                <c:pt idx="173">
                  <c:v>307.00170234105144</c:v>
                </c:pt>
                <c:pt idx="174">
                  <c:v>308.08658812939223</c:v>
                </c:pt>
                <c:pt idx="175">
                  <c:v>309.17147391773312</c:v>
                </c:pt>
                <c:pt idx="176">
                  <c:v>309.98513825898868</c:v>
                </c:pt>
                <c:pt idx="177">
                  <c:v>311.61246694149992</c:v>
                </c:pt>
                <c:pt idx="178">
                  <c:v>313.23979562401109</c:v>
                </c:pt>
                <c:pt idx="179">
                  <c:v>314.59590285943716</c:v>
                </c:pt>
                <c:pt idx="180">
                  <c:v>315.95201009486311</c:v>
                </c:pt>
                <c:pt idx="181">
                  <c:v>317.85056022445951</c:v>
                </c:pt>
                <c:pt idx="182">
                  <c:v>319.20666745988552</c:v>
                </c:pt>
                <c:pt idx="183">
                  <c:v>320.83399614239676</c:v>
                </c:pt>
                <c:pt idx="184">
                  <c:v>322.46132482490799</c:v>
                </c:pt>
                <c:pt idx="185">
                  <c:v>324.08816569906111</c:v>
                </c:pt>
                <c:pt idx="186">
                  <c:v>325.98671582865757</c:v>
                </c:pt>
                <c:pt idx="187">
                  <c:v>327.34282306408346</c:v>
                </c:pt>
                <c:pt idx="188">
                  <c:v>329.51259464076514</c:v>
                </c:pt>
                <c:pt idx="189">
                  <c:v>330.86870187619115</c:v>
                </c:pt>
              </c:numCache>
            </c:numRef>
          </c:xVal>
          <c:yVal>
            <c:numRef>
              <c:f>Acceleration!$X$13:$X$202</c:f>
              <c:numCache>
                <c:formatCode>0.00000</c:formatCode>
                <c:ptCount val="190"/>
                <c:pt idx="0">
                  <c:v>0.6976972243431202</c:v>
                </c:pt>
                <c:pt idx="1">
                  <c:v>0.71520335615673314</c:v>
                </c:pt>
                <c:pt idx="2">
                  <c:v>0.73598867433785509</c:v>
                </c:pt>
                <c:pt idx="3">
                  <c:v>0.74772824542539917</c:v>
                </c:pt>
                <c:pt idx="4">
                  <c:v>0.76690007221664636</c:v>
                </c:pt>
                <c:pt idx="5">
                  <c:v>0.77760603891212177</c:v>
                </c:pt>
                <c:pt idx="6">
                  <c:v>0.78793048398676202</c:v>
                </c:pt>
                <c:pt idx="7">
                  <c:v>0.80510245606344977</c:v>
                </c:pt>
                <c:pt idx="8">
                  <c:v>0.82150383548868522</c:v>
                </c:pt>
                <c:pt idx="9">
                  <c:v>0.83044301883000748</c:v>
                </c:pt>
                <c:pt idx="10">
                  <c:v>0.83906840044436504</c:v>
                </c:pt>
                <c:pt idx="11">
                  <c:v>0.85382413990523642</c:v>
                </c:pt>
                <c:pt idx="12">
                  <c:v>0.87272407193060952</c:v>
                </c:pt>
                <c:pt idx="13">
                  <c:v>0.88019547551386235</c:v>
                </c:pt>
                <c:pt idx="14">
                  <c:v>0.88264581795957542</c:v>
                </c:pt>
                <c:pt idx="15">
                  <c:v>0.900149445200218</c:v>
                </c:pt>
                <c:pt idx="16">
                  <c:v>0.90758711499446409</c:v>
                </c:pt>
                <c:pt idx="17">
                  <c:v>0.92463694189817625</c:v>
                </c:pt>
                <c:pt idx="18">
                  <c:v>0.93094142060348428</c:v>
                </c:pt>
                <c:pt idx="19">
                  <c:v>0.94152488863771044</c:v>
                </c:pt>
                <c:pt idx="20">
                  <c:v>0.94208945687420742</c:v>
                </c:pt>
                <c:pt idx="21">
                  <c:v>0.95661649455494979</c:v>
                </c:pt>
                <c:pt idx="22">
                  <c:v>0.96605837119990434</c:v>
                </c:pt>
                <c:pt idx="23">
                  <c:v>0.97978506014189448</c:v>
                </c:pt>
                <c:pt idx="24">
                  <c:v>0.98844563682175823</c:v>
                </c:pt>
                <c:pt idx="25">
                  <c:v>1.0014273628833754</c:v>
                </c:pt>
                <c:pt idx="26">
                  <c:v>1.0187912962644519</c:v>
                </c:pt>
                <c:pt idx="27">
                  <c:v>1.0351373015429894</c:v>
                </c:pt>
                <c:pt idx="28">
                  <c:v>1.0470182837989308</c:v>
                </c:pt>
                <c:pt idx="29">
                  <c:v>1.0671715975298313</c:v>
                </c:pt>
                <c:pt idx="30">
                  <c:v>1.0783422799477655</c:v>
                </c:pt>
                <c:pt idx="31">
                  <c:v>1.0927839705123636</c:v>
                </c:pt>
                <c:pt idx="32">
                  <c:v>1.1115759898080635</c:v>
                </c:pt>
                <c:pt idx="33">
                  <c:v>1.1217212111032566</c:v>
                </c:pt>
                <c:pt idx="34">
                  <c:v>1.1380485498798703</c:v>
                </c:pt>
                <c:pt idx="35">
                  <c:v>1.153662287750949</c:v>
                </c:pt>
                <c:pt idx="36">
                  <c:v>1.1735029514220165</c:v>
                </c:pt>
                <c:pt idx="37">
                  <c:v>1.1849969575119101</c:v>
                </c:pt>
                <c:pt idx="38">
                  <c:v>1.1960933856776115</c:v>
                </c:pt>
                <c:pt idx="39">
                  <c:v>1.2117387807684468</c:v>
                </c:pt>
                <c:pt idx="40">
                  <c:v>1.2195196617587121</c:v>
                </c:pt>
                <c:pt idx="41">
                  <c:v>1.2320500271140606</c:v>
                </c:pt>
                <c:pt idx="42">
                  <c:v>1.236999147497519</c:v>
                </c:pt>
                <c:pt idx="43">
                  <c:v>1.241850926409535</c:v>
                </c:pt>
                <c:pt idx="44">
                  <c:v>1.241688984227032</c:v>
                </c:pt>
                <c:pt idx="45">
                  <c:v>1.2585863238101676</c:v>
                </c:pt>
                <c:pt idx="46">
                  <c:v>1.2653888010420242</c:v>
                </c:pt>
                <c:pt idx="47">
                  <c:v>1.2741973915211497</c:v>
                </c:pt>
                <c:pt idx="48">
                  <c:v>1.2805837071758515</c:v>
                </c:pt>
                <c:pt idx="49">
                  <c:v>1.2868081975800501</c:v>
                </c:pt>
                <c:pt idx="50">
                  <c:v>1.3017680720530738</c:v>
                </c:pt>
                <c:pt idx="51">
                  <c:v>1.3056329533050379</c:v>
                </c:pt>
                <c:pt idx="52">
                  <c:v>1.3113073592974671</c:v>
                </c:pt>
                <c:pt idx="53">
                  <c:v>1.3149973049374435</c:v>
                </c:pt>
                <c:pt idx="54">
                  <c:v>1.3136916095929305</c:v>
                </c:pt>
                <c:pt idx="55">
                  <c:v>1.3190135725811789</c:v>
                </c:pt>
                <c:pt idx="56">
                  <c:v>1.3241875664847895</c:v>
                </c:pt>
                <c:pt idx="57">
                  <c:v>1.3226493324222843</c:v>
                </c:pt>
                <c:pt idx="58">
                  <c:v>1.3275895969123648</c:v>
                </c:pt>
                <c:pt idx="59">
                  <c:v>1.3259366878394394</c:v>
                </c:pt>
                <c:pt idx="60">
                  <c:v>1.332189999801805</c:v>
                </c:pt>
                <c:pt idx="61">
                  <c:v>1.3367167034140228</c:v>
                </c:pt>
                <c:pt idx="62">
                  <c:v>1.3362876938832724</c:v>
                </c:pt>
                <c:pt idx="63">
                  <c:v>1.3419649292897105</c:v>
                </c:pt>
                <c:pt idx="64">
                  <c:v>1.3364932706445163</c:v>
                </c:pt>
                <c:pt idx="65">
                  <c:v>1.345273268178439</c:v>
                </c:pt>
                <c:pt idx="66">
                  <c:v>1.3491488057650725</c:v>
                </c:pt>
                <c:pt idx="67">
                  <c:v>1.3468926817076958</c:v>
                </c:pt>
                <c:pt idx="68">
                  <c:v>1.3458320577512204</c:v>
                </c:pt>
                <c:pt idx="69">
                  <c:v>1.3517321913681657</c:v>
                </c:pt>
                <c:pt idx="70">
                  <c:v>1.3562242207916437</c:v>
                </c:pt>
                <c:pt idx="71">
                  <c:v>1.3511281224150624</c:v>
                </c:pt>
                <c:pt idx="72">
                  <c:v>1.3552527950968796</c:v>
                </c:pt>
                <c:pt idx="73">
                  <c:v>1.3535650950315894</c:v>
                </c:pt>
                <c:pt idx="74">
                  <c:v>1.3564347770617808</c:v>
                </c:pt>
                <c:pt idx="75">
                  <c:v>1.3592118091948262</c:v>
                </c:pt>
                <c:pt idx="76">
                  <c:v>1.3572587682541257</c:v>
                </c:pt>
                <c:pt idx="77">
                  <c:v>1.3514766390200046</c:v>
                </c:pt>
                <c:pt idx="78">
                  <c:v>1.3410569752173465</c:v>
                </c:pt>
                <c:pt idx="79">
                  <c:v>1.3404104141888484</c:v>
                </c:pt>
                <c:pt idx="80">
                  <c:v>1.3298421326384875</c:v>
                </c:pt>
                <c:pt idx="81">
                  <c:v>1.3237021620393152</c:v>
                </c:pt>
                <c:pt idx="82">
                  <c:v>1.3181110210334221</c:v>
                </c:pt>
                <c:pt idx="83">
                  <c:v>1.3123593720791871</c:v>
                </c:pt>
                <c:pt idx="84">
                  <c:v>1.2977276122930697</c:v>
                </c:pt>
                <c:pt idx="85">
                  <c:v>1.2873799162644117</c:v>
                </c:pt>
                <c:pt idx="86">
                  <c:v>1.2812130127262751</c:v>
                </c:pt>
                <c:pt idx="87">
                  <c:v>1.2744537815273154</c:v>
                </c:pt>
                <c:pt idx="88">
                  <c:v>1.2714528451763087</c:v>
                </c:pt>
                <c:pt idx="89">
                  <c:v>1.2645316363861736</c:v>
                </c:pt>
                <c:pt idx="90">
                  <c:v>1.2533205101134928</c:v>
                </c:pt>
                <c:pt idx="91">
                  <c:v>1.2382100715373101</c:v>
                </c:pt>
                <c:pt idx="92">
                  <c:v>1.2396285874049771</c:v>
                </c:pt>
                <c:pt idx="93">
                  <c:v>1.228417884212968</c:v>
                </c:pt>
                <c:pt idx="94">
                  <c:v>1.2170982301973636</c:v>
                </c:pt>
                <c:pt idx="95">
                  <c:v>1.2097553627473836</c:v>
                </c:pt>
                <c:pt idx="96">
                  <c:v>1.1980618405829555</c:v>
                </c:pt>
                <c:pt idx="97">
                  <c:v>1.1905463127788687</c:v>
                </c:pt>
                <c:pt idx="98">
                  <c:v>1.1787291183980795</c:v>
                </c:pt>
                <c:pt idx="99">
                  <c:v>1.1667979372304766</c:v>
                </c:pt>
                <c:pt idx="100">
                  <c:v>1.1586826049771948</c:v>
                </c:pt>
                <c:pt idx="101">
                  <c:v>1.1464950548362107</c:v>
                </c:pt>
                <c:pt idx="102">
                  <c:v>1.1340598882190123</c:v>
                </c:pt>
                <c:pt idx="103">
                  <c:v>1.1256621540941867</c:v>
                </c:pt>
                <c:pt idx="104">
                  <c:v>1.1168525784715249</c:v>
                </c:pt>
                <c:pt idx="105">
                  <c:v>1.1042954782976293</c:v>
                </c:pt>
                <c:pt idx="106">
                  <c:v>1.0951519741668012</c:v>
                </c:pt>
                <c:pt idx="107">
                  <c:v>1.0860620177345324</c:v>
                </c:pt>
                <c:pt idx="108">
                  <c:v>1.0774120538727252</c:v>
                </c:pt>
                <c:pt idx="109">
                  <c:v>1.0729272099971108</c:v>
                </c:pt>
                <c:pt idx="110">
                  <c:v>1.0677925816592437</c:v>
                </c:pt>
                <c:pt idx="111">
                  <c:v>1.0547686763212432</c:v>
                </c:pt>
                <c:pt idx="112">
                  <c:v>1.0498189340646027</c:v>
                </c:pt>
                <c:pt idx="113">
                  <c:v>1.040548346652187</c:v>
                </c:pt>
                <c:pt idx="114">
                  <c:v>1.0303656957807596</c:v>
                </c:pt>
                <c:pt idx="115">
                  <c:v>1.0161054022334051</c:v>
                </c:pt>
                <c:pt idx="116">
                  <c:v>1.002633126555607</c:v>
                </c:pt>
                <c:pt idx="117">
                  <c:v>0.9880740274753963</c:v>
                </c:pt>
                <c:pt idx="118">
                  <c:v>0.97441461351628134</c:v>
                </c:pt>
                <c:pt idx="119">
                  <c:v>0.96723725002281924</c:v>
                </c:pt>
                <c:pt idx="120">
                  <c:v>0.95012448722244902</c:v>
                </c:pt>
                <c:pt idx="121">
                  <c:v>0.93818615637405911</c:v>
                </c:pt>
                <c:pt idx="122">
                  <c:v>0.91898861959519274</c:v>
                </c:pt>
                <c:pt idx="123">
                  <c:v>0.90795165793645705</c:v>
                </c:pt>
                <c:pt idx="124">
                  <c:v>0.8967870929887598</c:v>
                </c:pt>
                <c:pt idx="125">
                  <c:v>0.88166508456416992</c:v>
                </c:pt>
                <c:pt idx="126">
                  <c:v>0.86564521282970419</c:v>
                </c:pt>
                <c:pt idx="127">
                  <c:v>0.85486031414158803</c:v>
                </c:pt>
                <c:pt idx="128">
                  <c:v>0.84234182483717612</c:v>
                </c:pt>
                <c:pt idx="129">
                  <c:v>0.82753779452149034</c:v>
                </c:pt>
                <c:pt idx="130">
                  <c:v>0.81940328385289463</c:v>
                </c:pt>
                <c:pt idx="131">
                  <c:v>0.80822457347103949</c:v>
                </c:pt>
                <c:pt idx="132">
                  <c:v>0.79696345712353744</c:v>
                </c:pt>
                <c:pt idx="133">
                  <c:v>0.78180481351058329</c:v>
                </c:pt>
                <c:pt idx="134">
                  <c:v>0.77705486714346006</c:v>
                </c:pt>
                <c:pt idx="135">
                  <c:v>0.75789068198388154</c:v>
                </c:pt>
                <c:pt idx="136">
                  <c:v>0.75009661535500927</c:v>
                </c:pt>
                <c:pt idx="137">
                  <c:v>0.73737630266061116</c:v>
                </c:pt>
                <c:pt idx="138">
                  <c:v>0.71794226991261179</c:v>
                </c:pt>
                <c:pt idx="139">
                  <c:v>0.70713907146352628</c:v>
                </c:pt>
                <c:pt idx="140">
                  <c:v>0.68865101569754827</c:v>
                </c:pt>
                <c:pt idx="141">
                  <c:v>0.66901580786070747</c:v>
                </c:pt>
                <c:pt idx="142">
                  <c:v>0.65042572738195858</c:v>
                </c:pt>
                <c:pt idx="143">
                  <c:v>0.6317913099535456</c:v>
                </c:pt>
                <c:pt idx="144">
                  <c:v>0.61575267565909275</c:v>
                </c:pt>
                <c:pt idx="145">
                  <c:v>0.59700139794486973</c:v>
                </c:pt>
                <c:pt idx="146">
                  <c:v>0.58201025281279695</c:v>
                </c:pt>
                <c:pt idx="147">
                  <c:v>0.56194168058990857</c:v>
                </c:pt>
                <c:pt idx="148">
                  <c:v>0.53922077233142018</c:v>
                </c:pt>
                <c:pt idx="149">
                  <c:v>0.52025254720036007</c:v>
                </c:pt>
                <c:pt idx="150">
                  <c:v>0.50375363531367434</c:v>
                </c:pt>
                <c:pt idx="151">
                  <c:v>0.48335504469776913</c:v>
                </c:pt>
                <c:pt idx="152">
                  <c:v>0.46037775739063602</c:v>
                </c:pt>
                <c:pt idx="153">
                  <c:v>0.43980436433551678</c:v>
                </c:pt>
                <c:pt idx="154">
                  <c:v>0.41775945055830194</c:v>
                </c:pt>
                <c:pt idx="155">
                  <c:v>0.39696677474680708</c:v>
                </c:pt>
                <c:pt idx="156">
                  <c:v>0.37988874215224627</c:v>
                </c:pt>
                <c:pt idx="157">
                  <c:v>0.35506864355230144</c:v>
                </c:pt>
                <c:pt idx="158">
                  <c:v>0.33925114360764824</c:v>
                </c:pt>
                <c:pt idx="159">
                  <c:v>0.3195435723135866</c:v>
                </c:pt>
                <c:pt idx="160">
                  <c:v>0.30211020519352944</c:v>
                </c:pt>
                <c:pt idx="161">
                  <c:v>0.2860953679427517</c:v>
                </c:pt>
                <c:pt idx="162">
                  <c:v>0.26618160272807756</c:v>
                </c:pt>
                <c:pt idx="163">
                  <c:v>0.24390942470515717</c:v>
                </c:pt>
                <c:pt idx="164">
                  <c:v>0.22159641855843032</c:v>
                </c:pt>
                <c:pt idx="165">
                  <c:v>0.19924742663484149</c:v>
                </c:pt>
                <c:pt idx="166">
                  <c:v>0.17141346179888783</c:v>
                </c:pt>
                <c:pt idx="167">
                  <c:v>0.15057777060213831</c:v>
                </c:pt>
                <c:pt idx="168">
                  <c:v>0.12646718515225583</c:v>
                </c:pt>
                <c:pt idx="169">
                  <c:v>9.4564825221206822E-2</c:v>
                </c:pt>
                <c:pt idx="170">
                  <c:v>5.4849706030515956E-2</c:v>
                </c:pt>
                <c:pt idx="171">
                  <c:v>3.0460654716641757E-2</c:v>
                </c:pt>
                <c:pt idx="172">
                  <c:v>9.4305000437838911E-3</c:v>
                </c:pt>
                <c:pt idx="173">
                  <c:v>-2.0740756121806664E-5</c:v>
                </c:pt>
                <c:pt idx="174">
                  <c:v>-1.7616546453184587E-2</c:v>
                </c:pt>
                <c:pt idx="175">
                  <c:v>-3.5194377245314247E-2</c:v>
                </c:pt>
                <c:pt idx="176">
                  <c:v>-4.6780470906252002E-2</c:v>
                </c:pt>
                <c:pt idx="177">
                  <c:v>-7.4165819885604903E-2</c:v>
                </c:pt>
                <c:pt idx="178">
                  <c:v>-9.9418081959253821E-2</c:v>
                </c:pt>
                <c:pt idx="179">
                  <c:v>-0.11870754642564728</c:v>
                </c:pt>
                <c:pt idx="180">
                  <c:v>-0.14215472288174769</c:v>
                </c:pt>
                <c:pt idx="181">
                  <c:v>-0.17121530477806135</c:v>
                </c:pt>
                <c:pt idx="182">
                  <c:v>-0.19049379531878258</c:v>
                </c:pt>
                <c:pt idx="183">
                  <c:v>-0.21772700904293724</c:v>
                </c:pt>
                <c:pt idx="184">
                  <c:v>-0.242893874215839</c:v>
                </c:pt>
                <c:pt idx="185">
                  <c:v>-0.26804745621450632</c:v>
                </c:pt>
                <c:pt idx="186">
                  <c:v>-0.29906594675296649</c:v>
                </c:pt>
                <c:pt idx="187">
                  <c:v>-0.32034562112636611</c:v>
                </c:pt>
                <c:pt idx="188">
                  <c:v>-0.35517974117619733</c:v>
                </c:pt>
                <c:pt idx="189">
                  <c:v>-0.37644145731273954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5AE-4517-A40E-E97BFD73D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0054863"/>
        <c:axId val="1850048143"/>
      </c:scatterChart>
      <c:valAx>
        <c:axId val="1850054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048143"/>
        <c:crosses val="autoZero"/>
        <c:crossBetween val="midCat"/>
      </c:valAx>
      <c:valAx>
        <c:axId val="185004814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054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064563914744449E-2"/>
          <c:y val="2.3233951911789917E-2"/>
          <c:w val="0.89986611251436222"/>
          <c:h val="0.87484926968919319"/>
        </c:manualLayout>
      </c:layout>
      <c:scatterChart>
        <c:scatterStyle val="smoothMarker"/>
        <c:varyColors val="0"/>
        <c:ser>
          <c:idx val="1"/>
          <c:order val="0"/>
          <c:tx>
            <c:v>I Gear</c:v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'Excess Power'!$F$12:$F$201</c:f>
              <c:numCache>
                <c:formatCode>0.00</c:formatCode>
                <c:ptCount val="190"/>
                <c:pt idx="0">
                  <c:v>10.494180907266067</c:v>
                </c:pt>
                <c:pt idx="1">
                  <c:v>10.610829539501971</c:v>
                </c:pt>
                <c:pt idx="2">
                  <c:v>10.844126803973779</c:v>
                </c:pt>
                <c:pt idx="3">
                  <c:v>11.019099752327637</c:v>
                </c:pt>
                <c:pt idx="4">
                  <c:v>11.252397016799444</c:v>
                </c:pt>
                <c:pt idx="5">
                  <c:v>11.4273699651533</c:v>
                </c:pt>
                <c:pt idx="6">
                  <c:v>11.602342913507156</c:v>
                </c:pt>
                <c:pt idx="7">
                  <c:v>11.835640177978965</c:v>
                </c:pt>
                <c:pt idx="8">
                  <c:v>12.068937442450773</c:v>
                </c:pt>
                <c:pt idx="9">
                  <c:v>12.243910390804631</c:v>
                </c:pt>
                <c:pt idx="10">
                  <c:v>12.418883339158489</c:v>
                </c:pt>
                <c:pt idx="11">
                  <c:v>12.652180603630294</c:v>
                </c:pt>
                <c:pt idx="12">
                  <c:v>12.82715355198415</c:v>
                </c:pt>
                <c:pt idx="13">
                  <c:v>13.002126500338008</c:v>
                </c:pt>
                <c:pt idx="14">
                  <c:v>13.235423764809818</c:v>
                </c:pt>
                <c:pt idx="15">
                  <c:v>13.410396713163674</c:v>
                </c:pt>
                <c:pt idx="16">
                  <c:v>13.702018293753435</c:v>
                </c:pt>
                <c:pt idx="17">
                  <c:v>13.993639874343195</c:v>
                </c:pt>
                <c:pt idx="18">
                  <c:v>14.285261454932956</c:v>
                </c:pt>
                <c:pt idx="19">
                  <c:v>14.51845381955563</c:v>
                </c:pt>
                <c:pt idx="20">
                  <c:v>14.751751084027442</c:v>
                </c:pt>
                <c:pt idx="21">
                  <c:v>14.926724032381298</c:v>
                </c:pt>
                <c:pt idx="22">
                  <c:v>15.160021296853104</c:v>
                </c:pt>
                <c:pt idx="23">
                  <c:v>15.334994245206961</c:v>
                </c:pt>
                <c:pt idx="24">
                  <c:v>15.568291509678767</c:v>
                </c:pt>
                <c:pt idx="25">
                  <c:v>15.743264458032627</c:v>
                </c:pt>
                <c:pt idx="26">
                  <c:v>15.859913090268533</c:v>
                </c:pt>
                <c:pt idx="27">
                  <c:v>16.093210354740339</c:v>
                </c:pt>
                <c:pt idx="28">
                  <c:v>16.268183303094194</c:v>
                </c:pt>
                <c:pt idx="29">
                  <c:v>16.443156251448052</c:v>
                </c:pt>
                <c:pt idx="30">
                  <c:v>16.61812919980191</c:v>
                </c:pt>
                <c:pt idx="31">
                  <c:v>16.851426464273715</c:v>
                </c:pt>
                <c:pt idx="32">
                  <c:v>17.026399412627573</c:v>
                </c:pt>
                <c:pt idx="33">
                  <c:v>17.201372360981431</c:v>
                </c:pt>
                <c:pt idx="34">
                  <c:v>17.492993941571189</c:v>
                </c:pt>
                <c:pt idx="35">
                  <c:v>17.784615522160955</c:v>
                </c:pt>
                <c:pt idx="36">
                  <c:v>18.017912786632763</c:v>
                </c:pt>
                <c:pt idx="37">
                  <c:v>18.251210051104568</c:v>
                </c:pt>
                <c:pt idx="38">
                  <c:v>18.484507315576376</c:v>
                </c:pt>
                <c:pt idx="39">
                  <c:v>18.659480263930234</c:v>
                </c:pt>
                <c:pt idx="40">
                  <c:v>18.834453212284089</c:v>
                </c:pt>
                <c:pt idx="41">
                  <c:v>18.951101844519993</c:v>
                </c:pt>
                <c:pt idx="42">
                  <c:v>19.067750476755897</c:v>
                </c:pt>
                <c:pt idx="43">
                  <c:v>19.184399108991801</c:v>
                </c:pt>
                <c:pt idx="44">
                  <c:v>19.359372057345659</c:v>
                </c:pt>
                <c:pt idx="45">
                  <c:v>19.417696373463613</c:v>
                </c:pt>
                <c:pt idx="46">
                  <c:v>19.592669321817468</c:v>
                </c:pt>
                <c:pt idx="47">
                  <c:v>19.825966586289276</c:v>
                </c:pt>
                <c:pt idx="48">
                  <c:v>20.000939534643134</c:v>
                </c:pt>
                <c:pt idx="49">
                  <c:v>20.175912482996992</c:v>
                </c:pt>
                <c:pt idx="50">
                  <c:v>20.409209747468797</c:v>
                </c:pt>
                <c:pt idx="51">
                  <c:v>20.525858379704705</c:v>
                </c:pt>
                <c:pt idx="52">
                  <c:v>20.700831328058559</c:v>
                </c:pt>
                <c:pt idx="53">
                  <c:v>20.817479960294463</c:v>
                </c:pt>
                <c:pt idx="54">
                  <c:v>20.992452908648318</c:v>
                </c:pt>
                <c:pt idx="55">
                  <c:v>21.167425857002176</c:v>
                </c:pt>
                <c:pt idx="56">
                  <c:v>21.34239880535603</c:v>
                </c:pt>
                <c:pt idx="57">
                  <c:v>21.517371753709888</c:v>
                </c:pt>
                <c:pt idx="58">
                  <c:v>21.692344702063746</c:v>
                </c:pt>
                <c:pt idx="59">
                  <c:v>21.867317650417604</c:v>
                </c:pt>
                <c:pt idx="60">
                  <c:v>22.100614914889409</c:v>
                </c:pt>
                <c:pt idx="61">
                  <c:v>22.27558786324327</c:v>
                </c:pt>
                <c:pt idx="62">
                  <c:v>22.508885127715075</c:v>
                </c:pt>
                <c:pt idx="63">
                  <c:v>22.742182392186884</c:v>
                </c:pt>
                <c:pt idx="64">
                  <c:v>23.033803972776646</c:v>
                </c:pt>
                <c:pt idx="65">
                  <c:v>23.15045260501255</c:v>
                </c:pt>
                <c:pt idx="66">
                  <c:v>23.325425553366408</c:v>
                </c:pt>
                <c:pt idx="67">
                  <c:v>23.500398501720262</c:v>
                </c:pt>
                <c:pt idx="68">
                  <c:v>23.733695766192074</c:v>
                </c:pt>
                <c:pt idx="69">
                  <c:v>24.025317346781833</c:v>
                </c:pt>
                <c:pt idx="70">
                  <c:v>24.258614611253641</c:v>
                </c:pt>
                <c:pt idx="71">
                  <c:v>24.60856050796135</c:v>
                </c:pt>
                <c:pt idx="72">
                  <c:v>24.841857772433162</c:v>
                </c:pt>
                <c:pt idx="73">
                  <c:v>25.075155036904967</c:v>
                </c:pt>
                <c:pt idx="74">
                  <c:v>25.250127985258828</c:v>
                </c:pt>
                <c:pt idx="75">
                  <c:v>25.425100933612683</c:v>
                </c:pt>
                <c:pt idx="76">
                  <c:v>25.658398198084488</c:v>
                </c:pt>
                <c:pt idx="77">
                  <c:v>26.008344094792204</c:v>
                </c:pt>
                <c:pt idx="78">
                  <c:v>26.41661430761787</c:v>
                </c:pt>
                <c:pt idx="79">
                  <c:v>26.766560204325582</c:v>
                </c:pt>
                <c:pt idx="80">
                  <c:v>27.174830417151245</c:v>
                </c:pt>
                <c:pt idx="81">
                  <c:v>27.524776313858958</c:v>
                </c:pt>
                <c:pt idx="82">
                  <c:v>27.933046526684628</c:v>
                </c:pt>
                <c:pt idx="83">
                  <c:v>28.34131673951029</c:v>
                </c:pt>
                <c:pt idx="84">
                  <c:v>28.866235584571861</c:v>
                </c:pt>
                <c:pt idx="85">
                  <c:v>29.332830113515477</c:v>
                </c:pt>
                <c:pt idx="86">
                  <c:v>29.741100326341147</c:v>
                </c:pt>
                <c:pt idx="87">
                  <c:v>30.091046223048853</c:v>
                </c:pt>
                <c:pt idx="88">
                  <c:v>30.324343487520661</c:v>
                </c:pt>
                <c:pt idx="89">
                  <c:v>30.674289384228373</c:v>
                </c:pt>
                <c:pt idx="90">
                  <c:v>31.08255959705404</c:v>
                </c:pt>
                <c:pt idx="91">
                  <c:v>31.60747844211561</c:v>
                </c:pt>
                <c:pt idx="92">
                  <c:v>31.899100022705365</c:v>
                </c:pt>
                <c:pt idx="93">
                  <c:v>32.365694551648986</c:v>
                </c:pt>
                <c:pt idx="94">
                  <c:v>32.832184180743475</c:v>
                </c:pt>
                <c:pt idx="95">
                  <c:v>33.240454393569138</c:v>
                </c:pt>
                <c:pt idx="96">
                  <c:v>33.648724606394801</c:v>
                </c:pt>
                <c:pt idx="97">
                  <c:v>34.115319135338417</c:v>
                </c:pt>
                <c:pt idx="98">
                  <c:v>34.581913664282034</c:v>
                </c:pt>
                <c:pt idx="99">
                  <c:v>35.106832509343612</c:v>
                </c:pt>
                <c:pt idx="100">
                  <c:v>35.573427038287221</c:v>
                </c:pt>
                <c:pt idx="101">
                  <c:v>35.981697251112884</c:v>
                </c:pt>
                <c:pt idx="102">
                  <c:v>36.506616096174461</c:v>
                </c:pt>
                <c:pt idx="103">
                  <c:v>36.85656199288217</c:v>
                </c:pt>
                <c:pt idx="104">
                  <c:v>37.323156521825794</c:v>
                </c:pt>
                <c:pt idx="105">
                  <c:v>37.73142673465145</c:v>
                </c:pt>
                <c:pt idx="106">
                  <c:v>38.198021263595066</c:v>
                </c:pt>
                <c:pt idx="107">
                  <c:v>38.606291476420736</c:v>
                </c:pt>
                <c:pt idx="108">
                  <c:v>38.897913057010491</c:v>
                </c:pt>
                <c:pt idx="109">
                  <c:v>39.072886005364353</c:v>
                </c:pt>
                <c:pt idx="110">
                  <c:v>39.364507585954108</c:v>
                </c:pt>
                <c:pt idx="111">
                  <c:v>39.772777798779778</c:v>
                </c:pt>
                <c:pt idx="112">
                  <c:v>40.006075063251586</c:v>
                </c:pt>
                <c:pt idx="113">
                  <c:v>40.356020959959295</c:v>
                </c:pt>
                <c:pt idx="114">
                  <c:v>40.822615488902919</c:v>
                </c:pt>
                <c:pt idx="115">
                  <c:v>41.347534333964489</c:v>
                </c:pt>
                <c:pt idx="116">
                  <c:v>41.755804546790152</c:v>
                </c:pt>
                <c:pt idx="117">
                  <c:v>42.280723391851716</c:v>
                </c:pt>
                <c:pt idx="118">
                  <c:v>42.688993604677378</c:v>
                </c:pt>
                <c:pt idx="119">
                  <c:v>43.097263817503048</c:v>
                </c:pt>
                <c:pt idx="120">
                  <c:v>43.505534030328711</c:v>
                </c:pt>
                <c:pt idx="121">
                  <c:v>44.030452875390289</c:v>
                </c:pt>
                <c:pt idx="122">
                  <c:v>44.613696036569799</c:v>
                </c:pt>
                <c:pt idx="123">
                  <c:v>45.021966249395469</c:v>
                </c:pt>
                <c:pt idx="124">
                  <c:v>45.430236462221131</c:v>
                </c:pt>
                <c:pt idx="125">
                  <c:v>45.896830991164748</c:v>
                </c:pt>
                <c:pt idx="126">
                  <c:v>46.421749836226326</c:v>
                </c:pt>
                <c:pt idx="127">
                  <c:v>46.771695732934035</c:v>
                </c:pt>
                <c:pt idx="128">
                  <c:v>47.238290261877658</c:v>
                </c:pt>
                <c:pt idx="129">
                  <c:v>47.646560474703328</c:v>
                </c:pt>
                <c:pt idx="130">
                  <c:v>47.99650637141103</c:v>
                </c:pt>
                <c:pt idx="131">
                  <c:v>48.346452268118739</c:v>
                </c:pt>
                <c:pt idx="132">
                  <c:v>48.696398164826455</c:v>
                </c:pt>
                <c:pt idx="133">
                  <c:v>49.104668377652118</c:v>
                </c:pt>
                <c:pt idx="134">
                  <c:v>49.39628995824188</c:v>
                </c:pt>
                <c:pt idx="135">
                  <c:v>49.862884487185504</c:v>
                </c:pt>
                <c:pt idx="136">
                  <c:v>50.154506067775266</c:v>
                </c:pt>
                <c:pt idx="137">
                  <c:v>50.562776280600929</c:v>
                </c:pt>
                <c:pt idx="138">
                  <c:v>51.029370809544538</c:v>
                </c:pt>
                <c:pt idx="139">
                  <c:v>51.320887490285173</c:v>
                </c:pt>
                <c:pt idx="140">
                  <c:v>51.729157703110843</c:v>
                </c:pt>
                <c:pt idx="141">
                  <c:v>52.19575223205446</c:v>
                </c:pt>
                <c:pt idx="142">
                  <c:v>52.604022444880108</c:v>
                </c:pt>
                <c:pt idx="143">
                  <c:v>53.012292657705778</c:v>
                </c:pt>
                <c:pt idx="144">
                  <c:v>53.420562870531448</c:v>
                </c:pt>
                <c:pt idx="145">
                  <c:v>53.828833083357111</c:v>
                </c:pt>
                <c:pt idx="146">
                  <c:v>54.178778980064827</c:v>
                </c:pt>
                <c:pt idx="147">
                  <c:v>54.645373509008444</c:v>
                </c:pt>
                <c:pt idx="148">
                  <c:v>55.111968037952067</c:v>
                </c:pt>
                <c:pt idx="149">
                  <c:v>55.520238250777723</c:v>
                </c:pt>
                <c:pt idx="150">
                  <c:v>55.928508463603386</c:v>
                </c:pt>
                <c:pt idx="151">
                  <c:v>56.395102992547002</c:v>
                </c:pt>
                <c:pt idx="152">
                  <c:v>56.861697521490626</c:v>
                </c:pt>
                <c:pt idx="153">
                  <c:v>57.328292050434243</c:v>
                </c:pt>
                <c:pt idx="154">
                  <c:v>57.853210895495813</c:v>
                </c:pt>
                <c:pt idx="155">
                  <c:v>58.319805424439423</c:v>
                </c:pt>
                <c:pt idx="156">
                  <c:v>58.728075637265093</c:v>
                </c:pt>
                <c:pt idx="157">
                  <c:v>59.252994482326663</c:v>
                </c:pt>
                <c:pt idx="158">
                  <c:v>59.602940379034379</c:v>
                </c:pt>
                <c:pt idx="159">
                  <c:v>60.011210591860035</c:v>
                </c:pt>
                <c:pt idx="160">
                  <c:v>60.419480804685705</c:v>
                </c:pt>
                <c:pt idx="161">
                  <c:v>60.769426701393428</c:v>
                </c:pt>
                <c:pt idx="162">
                  <c:v>61.177696914219084</c:v>
                </c:pt>
                <c:pt idx="163">
                  <c:v>61.585967127044754</c:v>
                </c:pt>
                <c:pt idx="164">
                  <c:v>61.994237339870423</c:v>
                </c:pt>
                <c:pt idx="165">
                  <c:v>62.402507552696079</c:v>
                </c:pt>
                <c:pt idx="166">
                  <c:v>62.92742639775765</c:v>
                </c:pt>
                <c:pt idx="167">
                  <c:v>63.277372294465358</c:v>
                </c:pt>
                <c:pt idx="168">
                  <c:v>63.743966823408968</c:v>
                </c:pt>
                <c:pt idx="169">
                  <c:v>64.327209984588492</c:v>
                </c:pt>
                <c:pt idx="170">
                  <c:v>65.027101778003924</c:v>
                </c:pt>
                <c:pt idx="171">
                  <c:v>65.493696306947541</c:v>
                </c:pt>
                <c:pt idx="172">
                  <c:v>65.843642203655264</c:v>
                </c:pt>
                <c:pt idx="173">
                  <c:v>66.018615152009104</c:v>
                </c:pt>
                <c:pt idx="174">
                  <c:v>66.251912416480906</c:v>
                </c:pt>
                <c:pt idx="175">
                  <c:v>66.485209680952735</c:v>
                </c:pt>
                <c:pt idx="176">
                  <c:v>66.660182629306576</c:v>
                </c:pt>
                <c:pt idx="177">
                  <c:v>67.010128526014299</c:v>
                </c:pt>
                <c:pt idx="178">
                  <c:v>67.360074422722008</c:v>
                </c:pt>
                <c:pt idx="179">
                  <c:v>67.65169600331177</c:v>
                </c:pt>
                <c:pt idx="180">
                  <c:v>67.943317583901532</c:v>
                </c:pt>
                <c:pt idx="181">
                  <c:v>68.351587796727202</c:v>
                </c:pt>
                <c:pt idx="182">
                  <c:v>68.64320937731695</c:v>
                </c:pt>
                <c:pt idx="183">
                  <c:v>68.993155274024673</c:v>
                </c:pt>
                <c:pt idx="184">
                  <c:v>69.343101170732382</c:v>
                </c:pt>
                <c:pt idx="185">
                  <c:v>69.692942167590971</c:v>
                </c:pt>
                <c:pt idx="186">
                  <c:v>70.101212380416627</c:v>
                </c:pt>
                <c:pt idx="187">
                  <c:v>70.392833961006389</c:v>
                </c:pt>
                <c:pt idx="188">
                  <c:v>70.859428489950005</c:v>
                </c:pt>
                <c:pt idx="189">
                  <c:v>71.151050070539753</c:v>
                </c:pt>
              </c:numCache>
            </c:numRef>
          </c:xVal>
          <c:yVal>
            <c:numRef>
              <c:f>'Excess Power'!$H$12:$H$201</c:f>
              <c:numCache>
                <c:formatCode>0.00</c:formatCode>
                <c:ptCount val="190"/>
                <c:pt idx="0">
                  <c:v>36.438646653469284</c:v>
                </c:pt>
                <c:pt idx="1">
                  <c:v>37.744895217601837</c:v>
                </c:pt>
                <c:pt idx="2">
                  <c:v>39.702872272585225</c:v>
                </c:pt>
                <c:pt idx="3">
                  <c:v>41.007744423603775</c:v>
                </c:pt>
                <c:pt idx="4">
                  <c:v>42.965625499177655</c:v>
                </c:pt>
                <c:pt idx="5">
                  <c:v>44.270334321411561</c:v>
                </c:pt>
                <c:pt idx="6">
                  <c:v>45.575100894027045</c:v>
                </c:pt>
                <c:pt idx="7">
                  <c:v>47.532838637963479</c:v>
                </c:pt>
                <c:pt idx="8">
                  <c:v>49.490517000898258</c:v>
                </c:pt>
                <c:pt idx="9">
                  <c:v>50.795161100197852</c:v>
                </c:pt>
                <c:pt idx="10">
                  <c:v>52.099680645489016</c:v>
                </c:pt>
                <c:pt idx="11">
                  <c:v>54.057205435052992</c:v>
                </c:pt>
                <c:pt idx="12">
                  <c:v>56.016302433999471</c:v>
                </c:pt>
                <c:pt idx="13">
                  <c:v>57.320703232944666</c:v>
                </c:pt>
                <c:pt idx="14">
                  <c:v>58.623497133614023</c:v>
                </c:pt>
                <c:pt idx="15">
                  <c:v>60.582471545564523</c:v>
                </c:pt>
                <c:pt idx="16">
                  <c:v>62.538114552755339</c:v>
                </c:pt>
                <c:pt idx="17">
                  <c:v>65.148220146083418</c:v>
                </c:pt>
                <c:pt idx="18">
                  <c:v>67.10364603944754</c:v>
                </c:pt>
                <c:pt idx="19">
                  <c:v>69.060633233911503</c:v>
                </c:pt>
                <c:pt idx="20">
                  <c:v>70.363064619818815</c:v>
                </c:pt>
                <c:pt idx="21">
                  <c:v>72.321604653198165</c:v>
                </c:pt>
                <c:pt idx="22">
                  <c:v>74.278385750810187</c:v>
                </c:pt>
                <c:pt idx="23">
                  <c:v>76.236826723740563</c:v>
                </c:pt>
                <c:pt idx="24">
                  <c:v>78.193473948450631</c:v>
                </c:pt>
                <c:pt idx="25">
                  <c:v>80.151813172477034</c:v>
                </c:pt>
                <c:pt idx="26">
                  <c:v>82.11197800249289</c:v>
                </c:pt>
                <c:pt idx="27">
                  <c:v>84.723017837723305</c:v>
                </c:pt>
                <c:pt idx="28">
                  <c:v>86.681222291347453</c:v>
                </c:pt>
                <c:pt idx="29">
                  <c:v>89.293950833908454</c:v>
                </c:pt>
                <c:pt idx="30">
                  <c:v>91.251882971608467</c:v>
                </c:pt>
                <c:pt idx="31">
                  <c:v>93.862566116391378</c:v>
                </c:pt>
                <c:pt idx="32">
                  <c:v>96.475048055757398</c:v>
                </c:pt>
                <c:pt idx="33">
                  <c:v>98.433181944269563</c:v>
                </c:pt>
                <c:pt idx="34">
                  <c:v>101.69693030426853</c:v>
                </c:pt>
                <c:pt idx="35">
                  <c:v>104.95964153191156</c:v>
                </c:pt>
                <c:pt idx="36">
                  <c:v>108.22419024246969</c:v>
                </c:pt>
                <c:pt idx="37">
                  <c:v>110.83434855473141</c:v>
                </c:pt>
                <c:pt idx="38">
                  <c:v>113.44441529821292</c:v>
                </c:pt>
                <c:pt idx="39">
                  <c:v>116.05732955969287</c:v>
                </c:pt>
                <c:pt idx="40">
                  <c:v>118.01409116153893</c:v>
                </c:pt>
                <c:pt idx="41">
                  <c:v>119.97376939690005</c:v>
                </c:pt>
                <c:pt idx="42">
                  <c:v>121.27912386220324</c:v>
                </c:pt>
                <c:pt idx="43">
                  <c:v>122.58355441113805</c:v>
                </c:pt>
                <c:pt idx="44">
                  <c:v>123.88675507129535</c:v>
                </c:pt>
                <c:pt idx="45">
                  <c:v>125.84844317466059</c:v>
                </c:pt>
                <c:pt idx="46">
                  <c:v>127.80497087865128</c:v>
                </c:pt>
                <c:pt idx="47">
                  <c:v>130.4153883869451</c:v>
                </c:pt>
                <c:pt idx="48">
                  <c:v>132.37178630528675</c:v>
                </c:pt>
                <c:pt idx="49">
                  <c:v>134.32902777821096</c:v>
                </c:pt>
                <c:pt idx="50">
                  <c:v>137.59349441798275</c:v>
                </c:pt>
                <c:pt idx="51">
                  <c:v>138.89763941261558</c:v>
                </c:pt>
                <c:pt idx="52">
                  <c:v>140.85470858650024</c:v>
                </c:pt>
                <c:pt idx="53">
                  <c:v>142.15878894367754</c:v>
                </c:pt>
                <c:pt idx="54">
                  <c:v>143.46146047554859</c:v>
                </c:pt>
                <c:pt idx="55">
                  <c:v>145.41837276381435</c:v>
                </c:pt>
                <c:pt idx="56">
                  <c:v>147.37522531467692</c:v>
                </c:pt>
                <c:pt idx="57">
                  <c:v>148.67681763433845</c:v>
                </c:pt>
                <c:pt idx="58">
                  <c:v>150.63354922900106</c:v>
                </c:pt>
                <c:pt idx="59">
                  <c:v>151.93591960486691</c:v>
                </c:pt>
                <c:pt idx="60">
                  <c:v>154.54441735663755</c:v>
                </c:pt>
                <c:pt idx="61">
                  <c:v>156.50004296831932</c:v>
                </c:pt>
                <c:pt idx="62">
                  <c:v>158.45404590887452</c:v>
                </c:pt>
                <c:pt idx="63">
                  <c:v>161.06223591931987</c:v>
                </c:pt>
                <c:pt idx="64">
                  <c:v>163.01348784125076</c:v>
                </c:pt>
                <c:pt idx="65">
                  <c:v>164.97221817892671</c:v>
                </c:pt>
                <c:pt idx="66">
                  <c:v>166.9283591949029</c:v>
                </c:pt>
                <c:pt idx="67">
                  <c:v>168.22923438330233</c:v>
                </c:pt>
                <c:pt idx="68">
                  <c:v>170.18263138257103</c:v>
                </c:pt>
                <c:pt idx="69">
                  <c:v>173.44276004506139</c:v>
                </c:pt>
                <c:pt idx="70">
                  <c:v>176.0501874792501</c:v>
                </c:pt>
                <c:pt idx="71">
                  <c:v>178.65205006087251</c:v>
                </c:pt>
                <c:pt idx="72">
                  <c:v>181.25917102855809</c:v>
                </c:pt>
                <c:pt idx="73">
                  <c:v>183.21186736129576</c:v>
                </c:pt>
                <c:pt idx="74">
                  <c:v>185.16635711504526</c:v>
                </c:pt>
                <c:pt idx="75">
                  <c:v>187.12167560944152</c:v>
                </c:pt>
                <c:pt idx="76">
                  <c:v>189.07405523394266</c:v>
                </c:pt>
                <c:pt idx="77">
                  <c:v>191.67478293309082</c:v>
                </c:pt>
                <c:pt idx="78">
                  <c:v>194.27224389793349</c:v>
                </c:pt>
                <c:pt idx="79">
                  <c:v>197.52753047832252</c:v>
                </c:pt>
                <c:pt idx="80">
                  <c:v>200.12423265344864</c:v>
                </c:pt>
                <c:pt idx="81">
                  <c:v>202.72365957022564</c:v>
                </c:pt>
                <c:pt idx="82">
                  <c:v>205.97388131997357</c:v>
                </c:pt>
                <c:pt idx="83">
                  <c:v>209.22457387915497</c:v>
                </c:pt>
                <c:pt idx="84">
                  <c:v>212.46726642674511</c:v>
                </c:pt>
                <c:pt idx="85">
                  <c:v>215.71264470730389</c:v>
                </c:pt>
                <c:pt idx="86">
                  <c:v>218.9618181319114</c:v>
                </c:pt>
                <c:pt idx="87">
                  <c:v>221.55887473607513</c:v>
                </c:pt>
                <c:pt idx="88">
                  <c:v>223.50845733582628</c:v>
                </c:pt>
                <c:pt idx="89">
                  <c:v>226.10494560470639</c:v>
                </c:pt>
                <c:pt idx="90">
                  <c:v>228.69739399630285</c:v>
                </c:pt>
                <c:pt idx="91">
                  <c:v>231.93611072480931</c:v>
                </c:pt>
                <c:pt idx="92">
                  <c:v>235.18945175816407</c:v>
                </c:pt>
                <c:pt idx="93">
                  <c:v>238.43173632374294</c:v>
                </c:pt>
                <c:pt idx="94">
                  <c:v>241.67247854973957</c:v>
                </c:pt>
                <c:pt idx="95">
                  <c:v>244.91753165373348</c:v>
                </c:pt>
                <c:pt idx="96">
                  <c:v>247.50687401897071</c:v>
                </c:pt>
                <c:pt idx="97">
                  <c:v>251.40007470919826</c:v>
                </c:pt>
                <c:pt idx="98">
                  <c:v>254.63919075481306</c:v>
                </c:pt>
                <c:pt idx="99">
                  <c:v>258.52660378274982</c:v>
                </c:pt>
                <c:pt idx="100">
                  <c:v>262.41853386758606</c:v>
                </c:pt>
                <c:pt idx="101">
                  <c:v>265.00483738527549</c:v>
                </c:pt>
                <c:pt idx="102">
                  <c:v>268.89074295326361</c:v>
                </c:pt>
                <c:pt idx="103">
                  <c:v>271.48053235465522</c:v>
                </c:pt>
                <c:pt idx="104">
                  <c:v>275.36883700687861</c:v>
                </c:pt>
                <c:pt idx="105">
                  <c:v>277.9527269661566</c:v>
                </c:pt>
                <c:pt idx="106">
                  <c:v>281.84051952228776</c:v>
                </c:pt>
                <c:pt idx="107">
                  <c:v>285.07745949504755</c:v>
                </c:pt>
                <c:pt idx="108">
                  <c:v>287.01556809562544</c:v>
                </c:pt>
                <c:pt idx="109">
                  <c:v>288.30950703522922</c:v>
                </c:pt>
                <c:pt idx="110">
                  <c:v>290.90142664830012</c:v>
                </c:pt>
                <c:pt idx="111">
                  <c:v>293.4823551647853</c:v>
                </c:pt>
                <c:pt idx="112">
                  <c:v>295.42464034451115</c:v>
                </c:pt>
                <c:pt idx="113">
                  <c:v>298.01009140606834</c:v>
                </c:pt>
                <c:pt idx="114">
                  <c:v>301.89345015477915</c:v>
                </c:pt>
                <c:pt idx="115">
                  <c:v>305.76939902064817</c:v>
                </c:pt>
                <c:pt idx="116">
                  <c:v>308.34730053757642</c:v>
                </c:pt>
                <c:pt idx="117">
                  <c:v>312.22227317052273</c:v>
                </c:pt>
                <c:pt idx="118">
                  <c:v>314.7986990084043</c:v>
                </c:pt>
                <c:pt idx="119">
                  <c:v>318.68396893095877</c:v>
                </c:pt>
                <c:pt idx="120">
                  <c:v>320.60387666512457</c:v>
                </c:pt>
                <c:pt idx="121">
                  <c:v>325.12951778783327</c:v>
                </c:pt>
                <c:pt idx="122">
                  <c:v>328.99329571140873</c:v>
                </c:pt>
                <c:pt idx="123">
                  <c:v>332.22018896740678</c:v>
                </c:pt>
                <c:pt idx="124">
                  <c:v>335.44729046201087</c:v>
                </c:pt>
                <c:pt idx="125">
                  <c:v>338.66603706828562</c:v>
                </c:pt>
                <c:pt idx="126">
                  <c:v>342.53217555274193</c:v>
                </c:pt>
                <c:pt idx="127">
                  <c:v>345.10864698905215</c:v>
                </c:pt>
                <c:pt idx="128">
                  <c:v>348.97902024503338</c:v>
                </c:pt>
                <c:pt idx="129">
                  <c:v>351.54795700497397</c:v>
                </c:pt>
                <c:pt idx="130">
                  <c:v>354.77686321164623</c:v>
                </c:pt>
                <c:pt idx="131">
                  <c:v>357.35092760720323</c:v>
                </c:pt>
                <c:pt idx="132">
                  <c:v>359.92444624126222</c:v>
                </c:pt>
                <c:pt idx="133">
                  <c:v>362.48983959554567</c:v>
                </c:pt>
                <c:pt idx="134">
                  <c:v>365.7250304233545</c:v>
                </c:pt>
                <c:pt idx="135">
                  <c:v>368.28134935634085</c:v>
                </c:pt>
                <c:pt idx="136">
                  <c:v>370.86032862844729</c:v>
                </c:pt>
                <c:pt idx="137">
                  <c:v>374.07729856353154</c:v>
                </c:pt>
                <c:pt idx="138">
                  <c:v>376.63109825115487</c:v>
                </c:pt>
                <c:pt idx="139">
                  <c:v>378.55420582223712</c:v>
                </c:pt>
                <c:pt idx="140">
                  <c:v>380.46033961562455</c:v>
                </c:pt>
                <c:pt idx="141">
                  <c:v>383.01156176813919</c:v>
                </c:pt>
                <c:pt idx="142">
                  <c:v>384.91598470046074</c:v>
                </c:pt>
                <c:pt idx="143">
                  <c:v>386.8195993732831</c:v>
                </c:pt>
                <c:pt idx="144">
                  <c:v>389.37669951354479</c:v>
                </c:pt>
                <c:pt idx="145">
                  <c:v>391.27777884818403</c:v>
                </c:pt>
                <c:pt idx="146">
                  <c:v>393.18793165708468</c:v>
                </c:pt>
                <c:pt idx="147">
                  <c:v>395.73355000834817</c:v>
                </c:pt>
                <c:pt idx="148">
                  <c:v>397.62377170680179</c:v>
                </c:pt>
                <c:pt idx="149">
                  <c:v>399.52228373369479</c:v>
                </c:pt>
                <c:pt idx="150">
                  <c:v>402.07424269350525</c:v>
                </c:pt>
                <c:pt idx="151">
                  <c:v>404.61570031427453</c:v>
                </c:pt>
                <c:pt idx="152">
                  <c:v>406.50172616771965</c:v>
                </c:pt>
                <c:pt idx="153">
                  <c:v>409.04091088996995</c:v>
                </c:pt>
                <c:pt idx="154">
                  <c:v>412.22315553500425</c:v>
                </c:pt>
                <c:pt idx="155">
                  <c:v>414.76078426248944</c:v>
                </c:pt>
                <c:pt idx="156">
                  <c:v>417.30672463084744</c:v>
                </c:pt>
                <c:pt idx="157">
                  <c:v>419.83072117371927</c:v>
                </c:pt>
                <c:pt idx="158">
                  <c:v>421.73095025790519</c:v>
                </c:pt>
                <c:pt idx="159">
                  <c:v>423.61883352849719</c:v>
                </c:pt>
                <c:pt idx="160">
                  <c:v>426.16099472832809</c:v>
                </c:pt>
                <c:pt idx="161">
                  <c:v>428.05896568003783</c:v>
                </c:pt>
                <c:pt idx="162">
                  <c:v>429.94509781992423</c:v>
                </c:pt>
                <c:pt idx="163">
                  <c:v>431.17598996601606</c:v>
                </c:pt>
                <c:pt idx="164">
                  <c:v>432.40503584525175</c:v>
                </c:pt>
                <c:pt idx="165">
                  <c:v>433.6340291845695</c:v>
                </c:pt>
                <c:pt idx="166">
                  <c:v>435.49291087492077</c:v>
                </c:pt>
                <c:pt idx="167">
                  <c:v>436.07637820865131</c:v>
                </c:pt>
                <c:pt idx="168">
                  <c:v>437.9446228219806</c:v>
                </c:pt>
                <c:pt idx="169">
                  <c:v>439.78627854841341</c:v>
                </c:pt>
                <c:pt idx="170">
                  <c:v>441.60192121990167</c:v>
                </c:pt>
                <c:pt idx="171">
                  <c:v>443.46532036970621</c:v>
                </c:pt>
                <c:pt idx="172">
                  <c:v>444.04345769355939</c:v>
                </c:pt>
                <c:pt idx="173">
                  <c:v>444.66029787258827</c:v>
                </c:pt>
                <c:pt idx="174">
                  <c:v>443.95366153802695</c:v>
                </c:pt>
                <c:pt idx="175">
                  <c:v>443.24759280869335</c:v>
                </c:pt>
                <c:pt idx="176">
                  <c:v>443.2085474235048</c:v>
                </c:pt>
                <c:pt idx="177">
                  <c:v>441.82129178656669</c:v>
                </c:pt>
                <c:pt idx="178">
                  <c:v>441.08667970222842</c:v>
                </c:pt>
                <c:pt idx="179">
                  <c:v>441.01992227350962</c:v>
                </c:pt>
                <c:pt idx="180">
                  <c:v>439.64403450467358</c:v>
                </c:pt>
                <c:pt idx="181">
                  <c:v>438.89373630416941</c:v>
                </c:pt>
                <c:pt idx="182">
                  <c:v>438.82516639175907</c:v>
                </c:pt>
                <c:pt idx="183">
                  <c:v>437.43357198671282</c:v>
                </c:pt>
                <c:pt idx="184">
                  <c:v>436.69549874876333</c:v>
                </c:pt>
                <c:pt idx="185">
                  <c:v>435.95576819174011</c:v>
                </c:pt>
                <c:pt idx="186">
                  <c:v>434.54752515491811</c:v>
                </c:pt>
                <c:pt idx="187">
                  <c:v>433.82139247191037</c:v>
                </c:pt>
                <c:pt idx="188">
                  <c:v>432.39581142449583</c:v>
                </c:pt>
                <c:pt idx="189">
                  <c:v>431.6682392319176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C7-4F7F-8744-068A57298B81}"/>
            </c:ext>
          </c:extLst>
        </c:ser>
        <c:ser>
          <c:idx val="2"/>
          <c:order val="1"/>
          <c:tx>
            <c:v>II Gear</c:v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'Excess Power'!$J$12:$J$201</c:f>
              <c:numCache>
                <c:formatCode>0.00</c:formatCode>
                <c:ptCount val="190"/>
                <c:pt idx="0">
                  <c:v>6.8807404563526875</c:v>
                </c:pt>
                <c:pt idx="1">
                  <c:v>6.9572236969310985</c:v>
                </c:pt>
                <c:pt idx="2">
                  <c:v>7.1101901780879189</c:v>
                </c:pt>
                <c:pt idx="3">
                  <c:v>7.2249150389555359</c:v>
                </c:pt>
                <c:pt idx="4">
                  <c:v>7.3778815201123562</c:v>
                </c:pt>
                <c:pt idx="5">
                  <c:v>7.4926063809799714</c:v>
                </c:pt>
                <c:pt idx="6">
                  <c:v>7.6073312418475876</c:v>
                </c:pt>
                <c:pt idx="7">
                  <c:v>7.7602977230044079</c:v>
                </c:pt>
                <c:pt idx="8">
                  <c:v>7.9132642041612282</c:v>
                </c:pt>
                <c:pt idx="9">
                  <c:v>8.0279890650288461</c:v>
                </c:pt>
                <c:pt idx="10">
                  <c:v>8.1427139258964623</c:v>
                </c:pt>
                <c:pt idx="11">
                  <c:v>8.2956804070532808</c:v>
                </c:pt>
                <c:pt idx="12">
                  <c:v>8.4104052679208987</c:v>
                </c:pt>
                <c:pt idx="13">
                  <c:v>8.5251301287885131</c:v>
                </c:pt>
                <c:pt idx="14">
                  <c:v>8.6780966099453352</c:v>
                </c:pt>
                <c:pt idx="15">
                  <c:v>8.7928214708129513</c:v>
                </c:pt>
                <c:pt idx="16">
                  <c:v>8.9840295722589776</c:v>
                </c:pt>
                <c:pt idx="17">
                  <c:v>9.1752376737050039</c:v>
                </c:pt>
                <c:pt idx="18">
                  <c:v>9.3664457751510302</c:v>
                </c:pt>
                <c:pt idx="19">
                  <c:v>9.5193434764152443</c:v>
                </c:pt>
                <c:pt idx="20">
                  <c:v>9.6723099575720646</c:v>
                </c:pt>
                <c:pt idx="21">
                  <c:v>9.7870348184396825</c:v>
                </c:pt>
                <c:pt idx="22">
                  <c:v>9.9400012995965028</c:v>
                </c:pt>
                <c:pt idx="23">
                  <c:v>10.054726160464117</c:v>
                </c:pt>
                <c:pt idx="24">
                  <c:v>10.207692641620937</c:v>
                </c:pt>
                <c:pt idx="25">
                  <c:v>10.322417502488555</c:v>
                </c:pt>
                <c:pt idx="26">
                  <c:v>10.398900743066966</c:v>
                </c:pt>
                <c:pt idx="27">
                  <c:v>10.551867224223788</c:v>
                </c:pt>
                <c:pt idx="28">
                  <c:v>10.6665920850914</c:v>
                </c:pt>
                <c:pt idx="29">
                  <c:v>10.781316945959018</c:v>
                </c:pt>
                <c:pt idx="30">
                  <c:v>10.896041806826634</c:v>
                </c:pt>
                <c:pt idx="31">
                  <c:v>11.049008287983455</c:v>
                </c:pt>
                <c:pt idx="32">
                  <c:v>11.163733148851069</c:v>
                </c:pt>
                <c:pt idx="33">
                  <c:v>11.278458009718685</c:v>
                </c:pt>
                <c:pt idx="34">
                  <c:v>11.469666111164713</c:v>
                </c:pt>
                <c:pt idx="35">
                  <c:v>11.660874212610741</c:v>
                </c:pt>
                <c:pt idx="36">
                  <c:v>11.813840693767562</c:v>
                </c:pt>
                <c:pt idx="37">
                  <c:v>11.96680717492438</c:v>
                </c:pt>
                <c:pt idx="38">
                  <c:v>12.119773656081202</c:v>
                </c:pt>
                <c:pt idx="39">
                  <c:v>12.234498516948817</c:v>
                </c:pt>
                <c:pt idx="40">
                  <c:v>12.349223377816434</c:v>
                </c:pt>
                <c:pt idx="41">
                  <c:v>12.425706618394843</c:v>
                </c:pt>
                <c:pt idx="42">
                  <c:v>12.502189858973255</c:v>
                </c:pt>
                <c:pt idx="43">
                  <c:v>12.578673099551665</c:v>
                </c:pt>
                <c:pt idx="44">
                  <c:v>12.693397960419279</c:v>
                </c:pt>
                <c:pt idx="45">
                  <c:v>12.731639580708485</c:v>
                </c:pt>
                <c:pt idx="46">
                  <c:v>12.846364441576101</c:v>
                </c:pt>
                <c:pt idx="47">
                  <c:v>12.999330922732922</c:v>
                </c:pt>
                <c:pt idx="48">
                  <c:v>13.11405578360054</c:v>
                </c:pt>
                <c:pt idx="49">
                  <c:v>13.228780644468154</c:v>
                </c:pt>
                <c:pt idx="50">
                  <c:v>13.381747125624976</c:v>
                </c:pt>
                <c:pt idx="51">
                  <c:v>13.458230366203386</c:v>
                </c:pt>
                <c:pt idx="52">
                  <c:v>13.572955227071002</c:v>
                </c:pt>
                <c:pt idx="53">
                  <c:v>13.649438467649412</c:v>
                </c:pt>
                <c:pt idx="54">
                  <c:v>13.764163328517029</c:v>
                </c:pt>
                <c:pt idx="55">
                  <c:v>13.878888189384641</c:v>
                </c:pt>
                <c:pt idx="56">
                  <c:v>13.993613050252259</c:v>
                </c:pt>
                <c:pt idx="57">
                  <c:v>14.108337911119875</c:v>
                </c:pt>
                <c:pt idx="58">
                  <c:v>14.223062771987491</c:v>
                </c:pt>
                <c:pt idx="59">
                  <c:v>14.337787632855107</c:v>
                </c:pt>
                <c:pt idx="60">
                  <c:v>14.490754114011926</c:v>
                </c:pt>
                <c:pt idx="61">
                  <c:v>14.605478974879544</c:v>
                </c:pt>
                <c:pt idx="62">
                  <c:v>14.758445456036364</c:v>
                </c:pt>
                <c:pt idx="63">
                  <c:v>14.911411937193186</c:v>
                </c:pt>
                <c:pt idx="64">
                  <c:v>15.102620038639214</c:v>
                </c:pt>
                <c:pt idx="65">
                  <c:v>15.179103279217623</c:v>
                </c:pt>
                <c:pt idx="66">
                  <c:v>15.293828140085239</c:v>
                </c:pt>
                <c:pt idx="67">
                  <c:v>15.408553000952855</c:v>
                </c:pt>
                <c:pt idx="68">
                  <c:v>15.561519482109677</c:v>
                </c:pt>
                <c:pt idx="69">
                  <c:v>15.752727583555702</c:v>
                </c:pt>
                <c:pt idx="70">
                  <c:v>15.905694064712524</c:v>
                </c:pt>
                <c:pt idx="71">
                  <c:v>16.135143786447752</c:v>
                </c:pt>
                <c:pt idx="72">
                  <c:v>16.288110267604576</c:v>
                </c:pt>
                <c:pt idx="73">
                  <c:v>16.441076748761393</c:v>
                </c:pt>
                <c:pt idx="74">
                  <c:v>16.555801609629015</c:v>
                </c:pt>
                <c:pt idx="75">
                  <c:v>16.670526470496629</c:v>
                </c:pt>
                <c:pt idx="76">
                  <c:v>16.823492951653449</c:v>
                </c:pt>
                <c:pt idx="77">
                  <c:v>17.052942673388678</c:v>
                </c:pt>
                <c:pt idx="78">
                  <c:v>17.320634015413116</c:v>
                </c:pt>
                <c:pt idx="79">
                  <c:v>17.550083737148348</c:v>
                </c:pt>
                <c:pt idx="80">
                  <c:v>17.817775079172787</c:v>
                </c:pt>
                <c:pt idx="81">
                  <c:v>18.047224800908015</c:v>
                </c:pt>
                <c:pt idx="82">
                  <c:v>18.314916142932454</c:v>
                </c:pt>
                <c:pt idx="83">
                  <c:v>18.582607484956895</c:v>
                </c:pt>
                <c:pt idx="84">
                  <c:v>18.926782067559738</c:v>
                </c:pt>
                <c:pt idx="85">
                  <c:v>19.232715029873379</c:v>
                </c:pt>
                <c:pt idx="86">
                  <c:v>19.500406371897821</c:v>
                </c:pt>
                <c:pt idx="87">
                  <c:v>19.72985609363305</c:v>
                </c:pt>
                <c:pt idx="88">
                  <c:v>19.882822574789866</c:v>
                </c:pt>
                <c:pt idx="89">
                  <c:v>20.112272296525102</c:v>
                </c:pt>
                <c:pt idx="90">
                  <c:v>20.37996363854954</c:v>
                </c:pt>
                <c:pt idx="91">
                  <c:v>20.724138221152387</c:v>
                </c:pt>
                <c:pt idx="92">
                  <c:v>20.915346322598413</c:v>
                </c:pt>
                <c:pt idx="93">
                  <c:v>21.221279284912054</c:v>
                </c:pt>
                <c:pt idx="94">
                  <c:v>21.527143467333087</c:v>
                </c:pt>
                <c:pt idx="95">
                  <c:v>21.794834809357528</c:v>
                </c:pt>
                <c:pt idx="96">
                  <c:v>22.062526151381963</c:v>
                </c:pt>
                <c:pt idx="97">
                  <c:v>22.368459113695604</c:v>
                </c:pt>
                <c:pt idx="98">
                  <c:v>22.674392076009244</c:v>
                </c:pt>
                <c:pt idx="99">
                  <c:v>23.018566658612091</c:v>
                </c:pt>
                <c:pt idx="100">
                  <c:v>23.324499620925735</c:v>
                </c:pt>
                <c:pt idx="101">
                  <c:v>23.59219096295017</c:v>
                </c:pt>
                <c:pt idx="102">
                  <c:v>23.93636554555302</c:v>
                </c:pt>
                <c:pt idx="103">
                  <c:v>24.165815267288252</c:v>
                </c:pt>
                <c:pt idx="104">
                  <c:v>24.471748229601893</c:v>
                </c:pt>
                <c:pt idx="105">
                  <c:v>24.739439571626331</c:v>
                </c:pt>
                <c:pt idx="106">
                  <c:v>25.045372533939972</c:v>
                </c:pt>
                <c:pt idx="107">
                  <c:v>25.31306387596441</c:v>
                </c:pt>
                <c:pt idx="108">
                  <c:v>25.504271977410436</c:v>
                </c:pt>
                <c:pt idx="109">
                  <c:v>25.618996838278051</c:v>
                </c:pt>
                <c:pt idx="110">
                  <c:v>25.810204939724077</c:v>
                </c:pt>
                <c:pt idx="111">
                  <c:v>26.077896281748515</c:v>
                </c:pt>
                <c:pt idx="112">
                  <c:v>26.230862762905335</c:v>
                </c:pt>
                <c:pt idx="113">
                  <c:v>26.460312484640568</c:v>
                </c:pt>
                <c:pt idx="114">
                  <c:v>26.766245446954208</c:v>
                </c:pt>
                <c:pt idx="115">
                  <c:v>27.110420029557059</c:v>
                </c:pt>
                <c:pt idx="116">
                  <c:v>27.378111371581497</c:v>
                </c:pt>
                <c:pt idx="117">
                  <c:v>27.722285954184343</c:v>
                </c:pt>
                <c:pt idx="118">
                  <c:v>27.989977296208778</c:v>
                </c:pt>
                <c:pt idx="119">
                  <c:v>28.257668638233216</c:v>
                </c:pt>
                <c:pt idx="120">
                  <c:v>28.525359980257655</c:v>
                </c:pt>
                <c:pt idx="121">
                  <c:v>28.869534562860501</c:v>
                </c:pt>
                <c:pt idx="122">
                  <c:v>29.25195076575255</c:v>
                </c:pt>
                <c:pt idx="123">
                  <c:v>29.519642107776985</c:v>
                </c:pt>
                <c:pt idx="124">
                  <c:v>29.787333449801427</c:v>
                </c:pt>
                <c:pt idx="125">
                  <c:v>30.093266412115071</c:v>
                </c:pt>
                <c:pt idx="126">
                  <c:v>30.43744099471791</c:v>
                </c:pt>
                <c:pt idx="127">
                  <c:v>30.666890716453143</c:v>
                </c:pt>
                <c:pt idx="128">
                  <c:v>30.972823678766794</c:v>
                </c:pt>
                <c:pt idx="129">
                  <c:v>31.240515020791229</c:v>
                </c:pt>
                <c:pt idx="130">
                  <c:v>31.469964742526454</c:v>
                </c:pt>
                <c:pt idx="131">
                  <c:v>31.699414464261693</c:v>
                </c:pt>
                <c:pt idx="132">
                  <c:v>31.928864185996922</c:v>
                </c:pt>
                <c:pt idx="133">
                  <c:v>32.196555528021356</c:v>
                </c:pt>
                <c:pt idx="134">
                  <c:v>32.387763629467386</c:v>
                </c:pt>
                <c:pt idx="135">
                  <c:v>32.693696591781034</c:v>
                </c:pt>
                <c:pt idx="136">
                  <c:v>32.88490469322705</c:v>
                </c:pt>
                <c:pt idx="137">
                  <c:v>33.152596035251491</c:v>
                </c:pt>
                <c:pt idx="138">
                  <c:v>33.458528997565132</c:v>
                </c:pt>
                <c:pt idx="139">
                  <c:v>33.649668319118547</c:v>
                </c:pt>
                <c:pt idx="140">
                  <c:v>33.917359661142982</c:v>
                </c:pt>
                <c:pt idx="141">
                  <c:v>34.223292623456636</c:v>
                </c:pt>
                <c:pt idx="142">
                  <c:v>34.490983965481064</c:v>
                </c:pt>
                <c:pt idx="143">
                  <c:v>34.758675307505499</c:v>
                </c:pt>
                <c:pt idx="144">
                  <c:v>35.026366649529933</c:v>
                </c:pt>
                <c:pt idx="145">
                  <c:v>35.294057991554382</c:v>
                </c:pt>
                <c:pt idx="146">
                  <c:v>35.523507713289611</c:v>
                </c:pt>
                <c:pt idx="147">
                  <c:v>35.829440675603252</c:v>
                </c:pt>
                <c:pt idx="148">
                  <c:v>36.135373637916892</c:v>
                </c:pt>
                <c:pt idx="149">
                  <c:v>36.403064979941327</c:v>
                </c:pt>
                <c:pt idx="150">
                  <c:v>36.670756321965762</c:v>
                </c:pt>
                <c:pt idx="151">
                  <c:v>36.976689284279409</c:v>
                </c:pt>
                <c:pt idx="152">
                  <c:v>37.282622246593043</c:v>
                </c:pt>
                <c:pt idx="153">
                  <c:v>37.588555208906691</c:v>
                </c:pt>
                <c:pt idx="154">
                  <c:v>37.932729791509544</c:v>
                </c:pt>
                <c:pt idx="155">
                  <c:v>38.238662753823178</c:v>
                </c:pt>
                <c:pt idx="156">
                  <c:v>38.506354095847612</c:v>
                </c:pt>
                <c:pt idx="157">
                  <c:v>38.850528678450466</c:v>
                </c:pt>
                <c:pt idx="158">
                  <c:v>39.079978400185695</c:v>
                </c:pt>
                <c:pt idx="159">
                  <c:v>39.347669742210144</c:v>
                </c:pt>
                <c:pt idx="160">
                  <c:v>39.615361084234571</c:v>
                </c:pt>
                <c:pt idx="161">
                  <c:v>39.8448108059698</c:v>
                </c:pt>
                <c:pt idx="162">
                  <c:v>40.112502147994242</c:v>
                </c:pt>
                <c:pt idx="163">
                  <c:v>40.380193490018677</c:v>
                </c:pt>
                <c:pt idx="164">
                  <c:v>40.647884832043111</c:v>
                </c:pt>
                <c:pt idx="165">
                  <c:v>40.915576174067553</c:v>
                </c:pt>
                <c:pt idx="166">
                  <c:v>41.259750756670392</c:v>
                </c:pt>
                <c:pt idx="167">
                  <c:v>41.489200478405635</c:v>
                </c:pt>
                <c:pt idx="168">
                  <c:v>41.795133440719269</c:v>
                </c:pt>
                <c:pt idx="169">
                  <c:v>42.177549643611329</c:v>
                </c:pt>
                <c:pt idx="170">
                  <c:v>42.636449087081793</c:v>
                </c:pt>
                <c:pt idx="171">
                  <c:v>42.942382049395427</c:v>
                </c:pt>
                <c:pt idx="172">
                  <c:v>43.171831771130663</c:v>
                </c:pt>
                <c:pt idx="173">
                  <c:v>43.286556631998273</c:v>
                </c:pt>
                <c:pt idx="174">
                  <c:v>43.439523113155097</c:v>
                </c:pt>
                <c:pt idx="175">
                  <c:v>43.592489594311921</c:v>
                </c:pt>
                <c:pt idx="176">
                  <c:v>43.707214455179532</c:v>
                </c:pt>
                <c:pt idx="177">
                  <c:v>43.936664176914768</c:v>
                </c:pt>
                <c:pt idx="178">
                  <c:v>44.166113898649996</c:v>
                </c:pt>
                <c:pt idx="179">
                  <c:v>44.357322000096026</c:v>
                </c:pt>
                <c:pt idx="180">
                  <c:v>44.548530101542056</c:v>
                </c:pt>
                <c:pt idx="181">
                  <c:v>44.816221443566491</c:v>
                </c:pt>
                <c:pt idx="182">
                  <c:v>45.007429545012513</c:v>
                </c:pt>
                <c:pt idx="183">
                  <c:v>45.236879266747749</c:v>
                </c:pt>
                <c:pt idx="184">
                  <c:v>45.466328988482978</c:v>
                </c:pt>
                <c:pt idx="185">
                  <c:v>45.695709930325606</c:v>
                </c:pt>
                <c:pt idx="186">
                  <c:v>45.96340127235004</c:v>
                </c:pt>
                <c:pt idx="187">
                  <c:v>46.154609373796056</c:v>
                </c:pt>
                <c:pt idx="188">
                  <c:v>46.460542336109704</c:v>
                </c:pt>
                <c:pt idx="189">
                  <c:v>46.651750437555741</c:v>
                </c:pt>
              </c:numCache>
            </c:numRef>
          </c:xVal>
          <c:yVal>
            <c:numRef>
              <c:f>'Excess Power'!$L$12:$L$201</c:f>
              <c:numCache>
                <c:formatCode>0.00</c:formatCode>
                <c:ptCount val="190"/>
                <c:pt idx="0">
                  <c:v>36.519631992953443</c:v>
                </c:pt>
                <c:pt idx="1">
                  <c:v>37.827068956998197</c:v>
                </c:pt>
                <c:pt idx="2">
                  <c:v>39.787451589344791</c:v>
                </c:pt>
                <c:pt idx="3">
                  <c:v>41.094153517440979</c:v>
                </c:pt>
                <c:pt idx="4">
                  <c:v>43.054509095384077</c:v>
                </c:pt>
                <c:pt idx="5">
                  <c:v>44.361100353770603</c:v>
                </c:pt>
                <c:pt idx="6">
                  <c:v>45.667772521726228</c:v>
                </c:pt>
                <c:pt idx="7">
                  <c:v>47.628087697754225</c:v>
                </c:pt>
                <c:pt idx="8">
                  <c:v>49.588386135634025</c:v>
                </c:pt>
                <c:pt idx="9">
                  <c:v>50.895023781159026</c:v>
                </c:pt>
                <c:pt idx="10">
                  <c:v>52.201561686698213</c:v>
                </c:pt>
                <c:pt idx="11">
                  <c:v>54.161816835752184</c:v>
                </c:pt>
                <c:pt idx="12">
                  <c:v>56.122991473362049</c:v>
                </c:pt>
                <c:pt idx="13">
                  <c:v>57.429495907018307</c:v>
                </c:pt>
                <c:pt idx="14">
                  <c:v>58.735135705167366</c:v>
                </c:pt>
                <c:pt idx="15">
                  <c:v>60.696275788302778</c:v>
                </c:pt>
                <c:pt idx="16">
                  <c:v>62.655588818300501</c:v>
                </c:pt>
                <c:pt idx="17">
                  <c:v>65.269441570783485</c:v>
                </c:pt>
                <c:pt idx="18">
                  <c:v>67.228693401352018</c:v>
                </c:pt>
                <c:pt idx="19">
                  <c:v>69.188797755070524</c:v>
                </c:pt>
                <c:pt idx="20">
                  <c:v>70.494399999642965</c:v>
                </c:pt>
                <c:pt idx="21">
                  <c:v>72.455353010324302</c:v>
                </c:pt>
                <c:pt idx="22">
                  <c:v>74.415398529601902</c:v>
                </c:pt>
                <c:pt idx="23">
                  <c:v>76.376323617405063</c:v>
                </c:pt>
                <c:pt idx="24">
                  <c:v>78.336331400969073</c:v>
                </c:pt>
                <c:pt idx="25">
                  <c:v>80.297227808080024</c:v>
                </c:pt>
                <c:pt idx="26">
                  <c:v>82.259115130463115</c:v>
                </c:pt>
                <c:pt idx="27">
                  <c:v>84.873642911984149</c:v>
                </c:pt>
                <c:pt idx="28">
                  <c:v>86.834501330396648</c:v>
                </c:pt>
                <c:pt idx="29">
                  <c:v>89.449916807529007</c:v>
                </c:pt>
                <c:pt idx="30">
                  <c:v>91.410569204190864</c:v>
                </c:pt>
                <c:pt idx="31">
                  <c:v>94.024931811765583</c:v>
                </c:pt>
                <c:pt idx="32">
                  <c:v>96.640213146033858</c:v>
                </c:pt>
                <c:pt idx="33">
                  <c:v>98.601180935863866</c:v>
                </c:pt>
                <c:pt idx="34">
                  <c:v>101.86973010878093</c:v>
                </c:pt>
                <c:pt idx="35">
                  <c:v>105.13734062721878</c:v>
                </c:pt>
                <c:pt idx="36">
                  <c:v>108.4058807777074</c:v>
                </c:pt>
                <c:pt idx="37">
                  <c:v>111.02009544698082</c:v>
                </c:pt>
                <c:pt idx="38">
                  <c:v>113.63428430510641</c:v>
                </c:pt>
                <c:pt idx="39">
                  <c:v>116.25033381165973</c:v>
                </c:pt>
                <c:pt idx="40">
                  <c:v>118.2102684746649</c:v>
                </c:pt>
                <c:pt idx="41">
                  <c:v>120.17208326818346</c:v>
                </c:pt>
                <c:pt idx="42">
                  <c:v>121.47959136146554</c:v>
                </c:pt>
                <c:pt idx="43">
                  <c:v>122.78619271326961</c:v>
                </c:pt>
                <c:pt idx="44">
                  <c:v>124.0926820104884</c:v>
                </c:pt>
                <c:pt idx="45">
                  <c:v>126.05547502747729</c:v>
                </c:pt>
                <c:pt idx="46">
                  <c:v>128.01534376001894</c:v>
                </c:pt>
                <c:pt idx="47">
                  <c:v>130.63027780128888</c:v>
                </c:pt>
                <c:pt idx="48">
                  <c:v>132.59010995022021</c:v>
                </c:pt>
                <c:pt idx="49">
                  <c:v>134.55082618847752</c:v>
                </c:pt>
                <c:pt idx="50">
                  <c:v>137.81998951564057</c:v>
                </c:pt>
                <c:pt idx="51">
                  <c:v>139.12651037620856</c:v>
                </c:pt>
                <c:pt idx="52">
                  <c:v>141.08717804730165</c:v>
                </c:pt>
                <c:pt idx="53">
                  <c:v>142.39368068804714</c:v>
                </c:pt>
                <c:pt idx="54">
                  <c:v>143.70002083608662</c:v>
                </c:pt>
                <c:pt idx="55">
                  <c:v>145.66064428470679</c:v>
                </c:pt>
                <c:pt idx="56">
                  <c:v>147.62125089471732</c:v>
                </c:pt>
                <c:pt idx="57">
                  <c:v>148.92664052692791</c:v>
                </c:pt>
                <c:pt idx="58">
                  <c:v>150.88721304214815</c:v>
                </c:pt>
                <c:pt idx="59">
                  <c:v>152.19346830118772</c:v>
                </c:pt>
                <c:pt idx="60">
                  <c:v>154.80721489638358</c:v>
                </c:pt>
                <c:pt idx="61">
                  <c:v>156.76682934970586</c:v>
                </c:pt>
                <c:pt idx="62">
                  <c:v>158.72622103206933</c:v>
                </c:pt>
                <c:pt idx="63">
                  <c:v>161.339880882014</c:v>
                </c:pt>
                <c:pt idx="64">
                  <c:v>163.29808542747412</c:v>
                </c:pt>
                <c:pt idx="65">
                  <c:v>165.25963303028385</c:v>
                </c:pt>
                <c:pt idx="66">
                  <c:v>167.22003907486038</c:v>
                </c:pt>
                <c:pt idx="67">
                  <c:v>168.52522656414644</c:v>
                </c:pt>
                <c:pt idx="68">
                  <c:v>170.48444744550008</c:v>
                </c:pt>
                <c:pt idx="69">
                  <c:v>173.75197630835831</c:v>
                </c:pt>
                <c:pt idx="70">
                  <c:v>176.36542120547239</c:v>
                </c:pt>
                <c:pt idx="71">
                  <c:v>178.97647412257638</c:v>
                </c:pt>
                <c:pt idx="72">
                  <c:v>181.58983263378249</c:v>
                </c:pt>
                <c:pt idx="73">
                  <c:v>183.5488560132433</c:v>
                </c:pt>
                <c:pt idx="74">
                  <c:v>185.50815029415588</c:v>
                </c:pt>
                <c:pt idx="75">
                  <c:v>187.46832448868426</c:v>
                </c:pt>
                <c:pt idx="76">
                  <c:v>189.42725859532632</c:v>
                </c:pt>
                <c:pt idx="77">
                  <c:v>192.03799161497997</c:v>
                </c:pt>
                <c:pt idx="78">
                  <c:v>194.64739212925798</c:v>
                </c:pt>
                <c:pt idx="79">
                  <c:v>197.91314443217567</c:v>
                </c:pt>
                <c:pt idx="80">
                  <c:v>200.52233106096227</c:v>
                </c:pt>
                <c:pt idx="81">
                  <c:v>203.13269741977351</c:v>
                </c:pt>
                <c:pt idx="82">
                  <c:v>206.39596406446984</c:v>
                </c:pt>
                <c:pt idx="83">
                  <c:v>209.66000973014758</c:v>
                </c:pt>
                <c:pt idx="84">
                  <c:v>212.92033068954694</c:v>
                </c:pt>
                <c:pt idx="85">
                  <c:v>216.18182038331437</c:v>
                </c:pt>
                <c:pt idx="86">
                  <c:v>219.44543783965062</c:v>
                </c:pt>
                <c:pt idx="87">
                  <c:v>222.05513606147082</c:v>
                </c:pt>
                <c:pt idx="88">
                  <c:v>224.01328175071598</c:v>
                </c:pt>
                <c:pt idx="89">
                  <c:v>226.62281977179973</c:v>
                </c:pt>
                <c:pt idx="90">
                  <c:v>229.23080735615977</c:v>
                </c:pt>
                <c:pt idx="91">
                  <c:v>232.4900076229616</c:v>
                </c:pt>
                <c:pt idx="92">
                  <c:v>235.75497689763171</c:v>
                </c:pt>
                <c:pt idx="93">
                  <c:v>239.01624085435716</c:v>
                </c:pt>
                <c:pt idx="94">
                  <c:v>242.27642449066977</c:v>
                </c:pt>
                <c:pt idx="95">
                  <c:v>245.5388805227274</c:v>
                </c:pt>
                <c:pt idx="96">
                  <c:v>248.14599258919409</c:v>
                </c:pt>
                <c:pt idx="97">
                  <c:v>252.05995639818622</c:v>
                </c:pt>
                <c:pt idx="98">
                  <c:v>255.32032722149833</c:v>
                </c:pt>
                <c:pt idx="99">
                  <c:v>259.23224793309026</c:v>
                </c:pt>
                <c:pt idx="100">
                  <c:v>263.14649989799619</c:v>
                </c:pt>
                <c:pt idx="101">
                  <c:v>265.75275538274218</c:v>
                </c:pt>
                <c:pt idx="102">
                  <c:v>269.66489748635757</c:v>
                </c:pt>
                <c:pt idx="103">
                  <c:v>272.27254724968907</c:v>
                </c:pt>
                <c:pt idx="104">
                  <c:v>276.18513097738651</c:v>
                </c:pt>
                <c:pt idx="105">
                  <c:v>278.79070613513858</c:v>
                </c:pt>
                <c:pt idx="106">
                  <c:v>282.70379182519787</c:v>
                </c:pt>
                <c:pt idx="107">
                  <c:v>285.96331464029851</c:v>
                </c:pt>
                <c:pt idx="108">
                  <c:v>287.91781438364421</c:v>
                </c:pt>
                <c:pt idx="109">
                  <c:v>289.22169301336379</c:v>
                </c:pt>
                <c:pt idx="110">
                  <c:v>291.83035492229914</c:v>
                </c:pt>
                <c:pt idx="111">
                  <c:v>294.4350953169631</c:v>
                </c:pt>
                <c:pt idx="112">
                  <c:v>296.39118403016607</c:v>
                </c:pt>
                <c:pt idx="113">
                  <c:v>298.99761091457981</c:v>
                </c:pt>
                <c:pt idx="114">
                  <c:v>302.90944681558926</c:v>
                </c:pt>
                <c:pt idx="115">
                  <c:v>306.8181360417197</c:v>
                </c:pt>
                <c:pt idx="116">
                  <c:v>309.42202319434108</c:v>
                </c:pt>
                <c:pt idx="117">
                  <c:v>313.33108355326118</c:v>
                </c:pt>
                <c:pt idx="118">
                  <c:v>315.93455474566167</c:v>
                </c:pt>
                <c:pt idx="119">
                  <c:v>319.84734105051166</c:v>
                </c:pt>
                <c:pt idx="120">
                  <c:v>321.79524069957841</c:v>
                </c:pt>
                <c:pt idx="121">
                  <c:v>326.35757741870106</c:v>
                </c:pt>
                <c:pt idx="122">
                  <c:v>330.26307055713846</c:v>
                </c:pt>
                <c:pt idx="123">
                  <c:v>333.51976143223686</c:v>
                </c:pt>
                <c:pt idx="124">
                  <c:v>336.77715731559715</c:v>
                </c:pt>
                <c:pt idx="125">
                  <c:v>340.03114014861404</c:v>
                </c:pt>
                <c:pt idx="126">
                  <c:v>343.93771036283437</c:v>
                </c:pt>
                <c:pt idx="127">
                  <c:v>346.54160609597307</c:v>
                </c:pt>
                <c:pt idx="128">
                  <c:v>350.44913537259782</c:v>
                </c:pt>
                <c:pt idx="129">
                  <c:v>353.05114187552158</c:v>
                </c:pt>
                <c:pt idx="130">
                  <c:v>356.30881184302461</c:v>
                </c:pt>
                <c:pt idx="131">
                  <c:v>358.91202908634841</c:v>
                </c:pt>
                <c:pt idx="132">
                  <c:v>361.51509249197039</c:v>
                </c:pt>
                <c:pt idx="133">
                  <c:v>364.11545387921109</c:v>
                </c:pt>
                <c:pt idx="134">
                  <c:v>367.37595333601786</c:v>
                </c:pt>
                <c:pt idx="135">
                  <c:v>369.97334516355943</c:v>
                </c:pt>
                <c:pt idx="136">
                  <c:v>372.57835948591622</c:v>
                </c:pt>
                <c:pt idx="137">
                  <c:v>375.83225320348373</c:v>
                </c:pt>
                <c:pt idx="138">
                  <c:v>378.42893491329352</c:v>
                </c:pt>
                <c:pt idx="139">
                  <c:v>380.37920694947229</c:v>
                </c:pt>
                <c:pt idx="140">
                  <c:v>382.32387034976585</c:v>
                </c:pt>
                <c:pt idx="141">
                  <c:v>384.91982551129587</c:v>
                </c:pt>
                <c:pt idx="142">
                  <c:v>386.86400665892859</c:v>
                </c:pt>
                <c:pt idx="143">
                  <c:v>388.80795997666797</c:v>
                </c:pt>
                <c:pt idx="144">
                  <c:v>391.4059836962814</c:v>
                </c:pt>
                <c:pt idx="145">
                  <c:v>393.34857604953589</c:v>
                </c:pt>
                <c:pt idx="146">
                  <c:v>395.29478400609645</c:v>
                </c:pt>
                <c:pt idx="147">
                  <c:v>397.88915958403669</c:v>
                </c:pt>
                <c:pt idx="148">
                  <c:v>399.82892604059583</c:v>
                </c:pt>
                <c:pt idx="149">
                  <c:v>401.77144103898507</c:v>
                </c:pt>
                <c:pt idx="150">
                  <c:v>404.36801557724664</c:v>
                </c:pt>
                <c:pt idx="151">
                  <c:v>406.96121834028577</c:v>
                </c:pt>
                <c:pt idx="152">
                  <c:v>408.89980208396429</c:v>
                </c:pt>
                <c:pt idx="153">
                  <c:v>411.49236416882081</c:v>
                </c:pt>
                <c:pt idx="154">
                  <c:v>414.73564624503518</c:v>
                </c:pt>
                <c:pt idx="155">
                  <c:v>417.32841604105886</c:v>
                </c:pt>
                <c:pt idx="156">
                  <c:v>419.92329407584617</c:v>
                </c:pt>
                <c:pt idx="157">
                  <c:v>422.51116327223014</c:v>
                </c:pt>
                <c:pt idx="158">
                  <c:v>424.45457395743756</c:v>
                </c:pt>
                <c:pt idx="159">
                  <c:v>426.39344664161678</c:v>
                </c:pt>
                <c:pt idx="160">
                  <c:v>428.98725941510725</c:v>
                </c:pt>
                <c:pt idx="161">
                  <c:v>430.93003358434225</c:v>
                </c:pt>
                <c:pt idx="162">
                  <c:v>432.86905897532364</c:v>
                </c:pt>
                <c:pt idx="163">
                  <c:v>434.15351940352247</c:v>
                </c:pt>
                <c:pt idx="164">
                  <c:v>435.43681310070599</c:v>
                </c:pt>
                <c:pt idx="165">
                  <c:v>436.72073829864132</c:v>
                </c:pt>
                <c:pt idx="166">
                  <c:v>438.65125903509579</c:v>
                </c:pt>
                <c:pt idx="167">
                  <c:v>439.28312279869817</c:v>
                </c:pt>
                <c:pt idx="168">
                  <c:v>441.21669441688658</c:v>
                </c:pt>
                <c:pt idx="169">
                  <c:v>443.1413015493921</c:v>
                </c:pt>
                <c:pt idx="170">
                  <c:v>445.05839913120013</c:v>
                </c:pt>
                <c:pt idx="171">
                  <c:v>446.99060492388458</c:v>
                </c:pt>
                <c:pt idx="172">
                  <c:v>447.62096627943248</c:v>
                </c:pt>
                <c:pt idx="173">
                  <c:v>448.26411845923764</c:v>
                </c:pt>
                <c:pt idx="174">
                  <c:v>447.5927729809286</c:v>
                </c:pt>
                <c:pt idx="175">
                  <c:v>446.92223380812459</c:v>
                </c:pt>
                <c:pt idx="176">
                  <c:v>446.90999274303425</c:v>
                </c:pt>
                <c:pt idx="177">
                  <c:v>445.57675138987076</c:v>
                </c:pt>
                <c:pt idx="178">
                  <c:v>444.89669681146142</c:v>
                </c:pt>
                <c:pt idx="179">
                  <c:v>444.87582097903913</c:v>
                </c:pt>
                <c:pt idx="180">
                  <c:v>443.54619565585</c:v>
                </c:pt>
                <c:pt idx="181">
                  <c:v>442.86130783195983</c:v>
                </c:pt>
                <c:pt idx="182">
                  <c:v>442.83992110177951</c:v>
                </c:pt>
                <c:pt idx="183">
                  <c:v>441.50545674897774</c:v>
                </c:pt>
                <c:pt idx="184">
                  <c:v>440.82507286096802</c:v>
                </c:pt>
                <c:pt idx="185">
                  <c:v>440.14357624245287</c:v>
                </c:pt>
                <c:pt idx="186">
                  <c:v>438.8040073330024</c:v>
                </c:pt>
                <c:pt idx="187">
                  <c:v>438.12740090230773</c:v>
                </c:pt>
                <c:pt idx="188">
                  <c:v>436.78188680550988</c:v>
                </c:pt>
                <c:pt idx="189">
                  <c:v>436.10487460994369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AC7-4F7F-8744-068A57298B81}"/>
            </c:ext>
          </c:extLst>
        </c:ser>
        <c:ser>
          <c:idx val="3"/>
          <c:order val="2"/>
          <c:tx>
            <c:v>III Gear</c:v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'Excess Power'!$N$12:$N$201</c:f>
              <c:numCache>
                <c:formatCode>0.00</c:formatCode>
                <c:ptCount val="190"/>
                <c:pt idx="0">
                  <c:v>10.421146734147303</c:v>
                </c:pt>
                <c:pt idx="1">
                  <c:v>10.536983551104237</c:v>
                </c:pt>
                <c:pt idx="2">
                  <c:v>10.768657185018109</c:v>
                </c:pt>
                <c:pt idx="3">
                  <c:v>10.94241241045351</c:v>
                </c:pt>
                <c:pt idx="4">
                  <c:v>11.174086044367384</c:v>
                </c:pt>
                <c:pt idx="5">
                  <c:v>11.347841269802784</c:v>
                </c:pt>
                <c:pt idx="6">
                  <c:v>11.521596495238187</c:v>
                </c:pt>
                <c:pt idx="7">
                  <c:v>11.753270129152058</c:v>
                </c:pt>
                <c:pt idx="8">
                  <c:v>11.984943763065928</c:v>
                </c:pt>
                <c:pt idx="9">
                  <c:v>12.158698988501332</c:v>
                </c:pt>
                <c:pt idx="10">
                  <c:v>12.332454213936735</c:v>
                </c:pt>
                <c:pt idx="11">
                  <c:v>12.564127847850605</c:v>
                </c:pt>
                <c:pt idx="12">
                  <c:v>12.737883073286007</c:v>
                </c:pt>
                <c:pt idx="13">
                  <c:v>12.91163829872141</c:v>
                </c:pt>
                <c:pt idx="14">
                  <c:v>13.143311932635282</c:v>
                </c:pt>
                <c:pt idx="15">
                  <c:v>13.317067158070683</c:v>
                </c:pt>
                <c:pt idx="16">
                  <c:v>13.606659200463023</c:v>
                </c:pt>
                <c:pt idx="17">
                  <c:v>13.89625124285536</c:v>
                </c:pt>
                <c:pt idx="18">
                  <c:v>14.185843285247698</c:v>
                </c:pt>
                <c:pt idx="19">
                  <c:v>14.417412749362148</c:v>
                </c:pt>
                <c:pt idx="20">
                  <c:v>14.649086383276018</c:v>
                </c:pt>
                <c:pt idx="21">
                  <c:v>14.822841608711421</c:v>
                </c:pt>
                <c:pt idx="22">
                  <c:v>15.054515242625293</c:v>
                </c:pt>
                <c:pt idx="23">
                  <c:v>15.228270468060693</c:v>
                </c:pt>
                <c:pt idx="24">
                  <c:v>15.459944101974562</c:v>
                </c:pt>
                <c:pt idx="25">
                  <c:v>15.633699327409969</c:v>
                </c:pt>
                <c:pt idx="26">
                  <c:v>15.749536144366903</c:v>
                </c:pt>
                <c:pt idx="27">
                  <c:v>15.981209778280773</c:v>
                </c:pt>
                <c:pt idx="28">
                  <c:v>16.154965003716175</c:v>
                </c:pt>
                <c:pt idx="29">
                  <c:v>16.328720229151578</c:v>
                </c:pt>
                <c:pt idx="30">
                  <c:v>16.502475454586985</c:v>
                </c:pt>
                <c:pt idx="31">
                  <c:v>16.73414908850085</c:v>
                </c:pt>
                <c:pt idx="32">
                  <c:v>16.907904313936253</c:v>
                </c:pt>
                <c:pt idx="33">
                  <c:v>17.081659539371657</c:v>
                </c:pt>
                <c:pt idx="34">
                  <c:v>17.371251581763996</c:v>
                </c:pt>
                <c:pt idx="35">
                  <c:v>17.660843624156335</c:v>
                </c:pt>
                <c:pt idx="36">
                  <c:v>17.892517258070207</c:v>
                </c:pt>
                <c:pt idx="37">
                  <c:v>18.124190891984075</c:v>
                </c:pt>
                <c:pt idx="38">
                  <c:v>18.355864525897942</c:v>
                </c:pt>
                <c:pt idx="39">
                  <c:v>18.529619751333346</c:v>
                </c:pt>
                <c:pt idx="40">
                  <c:v>18.70337497676875</c:v>
                </c:pt>
                <c:pt idx="41">
                  <c:v>18.819211793725685</c:v>
                </c:pt>
                <c:pt idx="42">
                  <c:v>18.935048610682621</c:v>
                </c:pt>
                <c:pt idx="43">
                  <c:v>19.050885427639557</c:v>
                </c:pt>
                <c:pt idx="44">
                  <c:v>19.224640653074957</c:v>
                </c:pt>
                <c:pt idx="45">
                  <c:v>19.282559061553425</c:v>
                </c:pt>
                <c:pt idx="46">
                  <c:v>19.456314286988828</c:v>
                </c:pt>
                <c:pt idx="47">
                  <c:v>19.687987920902703</c:v>
                </c:pt>
                <c:pt idx="48">
                  <c:v>19.861743146338103</c:v>
                </c:pt>
                <c:pt idx="49">
                  <c:v>20.035498371773507</c:v>
                </c:pt>
                <c:pt idx="50">
                  <c:v>20.267172005687378</c:v>
                </c:pt>
                <c:pt idx="51">
                  <c:v>20.38300882264431</c:v>
                </c:pt>
                <c:pt idx="52">
                  <c:v>20.556764048079717</c:v>
                </c:pt>
                <c:pt idx="53">
                  <c:v>20.672600865036646</c:v>
                </c:pt>
                <c:pt idx="54">
                  <c:v>20.846356090472053</c:v>
                </c:pt>
                <c:pt idx="55">
                  <c:v>21.02011131590745</c:v>
                </c:pt>
                <c:pt idx="56">
                  <c:v>21.193866541342857</c:v>
                </c:pt>
                <c:pt idx="57">
                  <c:v>21.36762176677826</c:v>
                </c:pt>
                <c:pt idx="58">
                  <c:v>21.54137699221366</c:v>
                </c:pt>
                <c:pt idx="59">
                  <c:v>21.715132217649067</c:v>
                </c:pt>
                <c:pt idx="60">
                  <c:v>21.946805851562935</c:v>
                </c:pt>
                <c:pt idx="61">
                  <c:v>22.120561076998342</c:v>
                </c:pt>
                <c:pt idx="62">
                  <c:v>22.35223471091221</c:v>
                </c:pt>
                <c:pt idx="63">
                  <c:v>22.583908344826082</c:v>
                </c:pt>
                <c:pt idx="64">
                  <c:v>22.873500387218417</c:v>
                </c:pt>
                <c:pt idx="65">
                  <c:v>22.989337204175349</c:v>
                </c:pt>
                <c:pt idx="66">
                  <c:v>23.163092429610757</c:v>
                </c:pt>
                <c:pt idx="67">
                  <c:v>23.33684765504616</c:v>
                </c:pt>
                <c:pt idx="68">
                  <c:v>23.568521288960035</c:v>
                </c:pt>
                <c:pt idx="69">
                  <c:v>23.858113331352364</c:v>
                </c:pt>
                <c:pt idx="70">
                  <c:v>24.089786965266239</c:v>
                </c:pt>
                <c:pt idx="71">
                  <c:v>24.437297416137046</c:v>
                </c:pt>
                <c:pt idx="72">
                  <c:v>24.668971050050917</c:v>
                </c:pt>
                <c:pt idx="73">
                  <c:v>24.900644683964785</c:v>
                </c:pt>
                <c:pt idx="74">
                  <c:v>25.074399909400189</c:v>
                </c:pt>
                <c:pt idx="75">
                  <c:v>25.248155134835592</c:v>
                </c:pt>
                <c:pt idx="76">
                  <c:v>25.479828768749456</c:v>
                </c:pt>
                <c:pt idx="77">
                  <c:v>25.827339219620264</c:v>
                </c:pt>
                <c:pt idx="78">
                  <c:v>26.232768078969542</c:v>
                </c:pt>
                <c:pt idx="79">
                  <c:v>26.580278529840346</c:v>
                </c:pt>
                <c:pt idx="80">
                  <c:v>26.985707389189624</c:v>
                </c:pt>
                <c:pt idx="81">
                  <c:v>27.333217840060424</c:v>
                </c:pt>
                <c:pt idx="82">
                  <c:v>27.738646699409699</c:v>
                </c:pt>
                <c:pt idx="83">
                  <c:v>28.144075558758974</c:v>
                </c:pt>
                <c:pt idx="84">
                  <c:v>28.665341235065178</c:v>
                </c:pt>
                <c:pt idx="85">
                  <c:v>29.128688502892921</c:v>
                </c:pt>
                <c:pt idx="86">
                  <c:v>29.534117362242196</c:v>
                </c:pt>
                <c:pt idx="87">
                  <c:v>29.881627813113003</c:v>
                </c:pt>
                <c:pt idx="88">
                  <c:v>30.113301447026871</c:v>
                </c:pt>
                <c:pt idx="89">
                  <c:v>30.460811897897678</c:v>
                </c:pt>
                <c:pt idx="90">
                  <c:v>30.866240757246949</c:v>
                </c:pt>
                <c:pt idx="91">
                  <c:v>31.387506433553167</c:v>
                </c:pt>
                <c:pt idx="92">
                  <c:v>31.677098475945492</c:v>
                </c:pt>
                <c:pt idx="93">
                  <c:v>32.140445743773235</c:v>
                </c:pt>
                <c:pt idx="94">
                  <c:v>32.603688841801556</c:v>
                </c:pt>
                <c:pt idx="95">
                  <c:v>33.009117701150835</c:v>
                </c:pt>
                <c:pt idx="96">
                  <c:v>33.414546560500106</c:v>
                </c:pt>
                <c:pt idx="97">
                  <c:v>33.877893828327842</c:v>
                </c:pt>
                <c:pt idx="98">
                  <c:v>34.341241096155585</c:v>
                </c:pt>
                <c:pt idx="99">
                  <c:v>34.862506772461792</c:v>
                </c:pt>
                <c:pt idx="100">
                  <c:v>35.325854040289535</c:v>
                </c:pt>
                <c:pt idx="101">
                  <c:v>35.731282899638806</c:v>
                </c:pt>
                <c:pt idx="102">
                  <c:v>36.252548575945021</c:v>
                </c:pt>
                <c:pt idx="103">
                  <c:v>36.600059026815828</c:v>
                </c:pt>
                <c:pt idx="104">
                  <c:v>37.063406294643563</c:v>
                </c:pt>
                <c:pt idx="105">
                  <c:v>37.468835153992835</c:v>
                </c:pt>
                <c:pt idx="106">
                  <c:v>37.932182421820585</c:v>
                </c:pt>
                <c:pt idx="107">
                  <c:v>38.337611281169856</c:v>
                </c:pt>
                <c:pt idx="108">
                  <c:v>38.627203323562192</c:v>
                </c:pt>
                <c:pt idx="109">
                  <c:v>38.800958548997592</c:v>
                </c:pt>
                <c:pt idx="110">
                  <c:v>39.090550591389935</c:v>
                </c:pt>
                <c:pt idx="111">
                  <c:v>39.495979450739199</c:v>
                </c:pt>
                <c:pt idx="112">
                  <c:v>39.72765308465307</c:v>
                </c:pt>
                <c:pt idx="113">
                  <c:v>40.075163535523878</c:v>
                </c:pt>
                <c:pt idx="114">
                  <c:v>40.53851080335162</c:v>
                </c:pt>
                <c:pt idx="115">
                  <c:v>41.059776479657828</c:v>
                </c:pt>
                <c:pt idx="116">
                  <c:v>41.465205339007099</c:v>
                </c:pt>
                <c:pt idx="117">
                  <c:v>41.986471015313306</c:v>
                </c:pt>
                <c:pt idx="118">
                  <c:v>42.391899874662585</c:v>
                </c:pt>
                <c:pt idx="119">
                  <c:v>42.797328734011856</c:v>
                </c:pt>
                <c:pt idx="120">
                  <c:v>43.202757593361127</c:v>
                </c:pt>
                <c:pt idx="121">
                  <c:v>43.724023269667342</c:v>
                </c:pt>
                <c:pt idx="122">
                  <c:v>44.303207354452013</c:v>
                </c:pt>
                <c:pt idx="123">
                  <c:v>44.708636213801284</c:v>
                </c:pt>
                <c:pt idx="124">
                  <c:v>45.114065073150563</c:v>
                </c:pt>
                <c:pt idx="125">
                  <c:v>45.577412340978299</c:v>
                </c:pt>
                <c:pt idx="126">
                  <c:v>46.09867801728452</c:v>
                </c:pt>
                <c:pt idx="127">
                  <c:v>46.446188468155313</c:v>
                </c:pt>
                <c:pt idx="128">
                  <c:v>46.909535735983063</c:v>
                </c:pt>
                <c:pt idx="129">
                  <c:v>47.314964595332334</c:v>
                </c:pt>
                <c:pt idx="130">
                  <c:v>47.662475046203134</c:v>
                </c:pt>
                <c:pt idx="131">
                  <c:v>48.009985497073941</c:v>
                </c:pt>
                <c:pt idx="132">
                  <c:v>48.357495947944749</c:v>
                </c:pt>
                <c:pt idx="133">
                  <c:v>48.76292480729402</c:v>
                </c:pt>
                <c:pt idx="134">
                  <c:v>49.052516849686356</c:v>
                </c:pt>
                <c:pt idx="135">
                  <c:v>49.515864117514099</c:v>
                </c:pt>
                <c:pt idx="136">
                  <c:v>49.805456159906441</c:v>
                </c:pt>
                <c:pt idx="137">
                  <c:v>50.210885019255713</c:v>
                </c:pt>
                <c:pt idx="138">
                  <c:v>50.674232287083456</c:v>
                </c:pt>
                <c:pt idx="139">
                  <c:v>50.96372015967637</c:v>
                </c:pt>
                <c:pt idx="140">
                  <c:v>51.369149019025649</c:v>
                </c:pt>
                <c:pt idx="141">
                  <c:v>51.832496286853385</c:v>
                </c:pt>
                <c:pt idx="142">
                  <c:v>52.237925146202656</c:v>
                </c:pt>
                <c:pt idx="143">
                  <c:v>52.643354005551927</c:v>
                </c:pt>
                <c:pt idx="144">
                  <c:v>53.048782864901199</c:v>
                </c:pt>
                <c:pt idx="145">
                  <c:v>53.454211724250477</c:v>
                </c:pt>
                <c:pt idx="146">
                  <c:v>53.801722175121292</c:v>
                </c:pt>
                <c:pt idx="147">
                  <c:v>54.265069442949027</c:v>
                </c:pt>
                <c:pt idx="148">
                  <c:v>54.728416710776763</c:v>
                </c:pt>
                <c:pt idx="149">
                  <c:v>55.133845570126034</c:v>
                </c:pt>
                <c:pt idx="150">
                  <c:v>55.539274429475306</c:v>
                </c:pt>
                <c:pt idx="151">
                  <c:v>56.002621697303056</c:v>
                </c:pt>
                <c:pt idx="152">
                  <c:v>56.465968965130784</c:v>
                </c:pt>
                <c:pt idx="153">
                  <c:v>56.929316232958534</c:v>
                </c:pt>
                <c:pt idx="154">
                  <c:v>57.450581909264749</c:v>
                </c:pt>
                <c:pt idx="155">
                  <c:v>57.913929177092477</c:v>
                </c:pt>
                <c:pt idx="156">
                  <c:v>58.319358036441756</c:v>
                </c:pt>
                <c:pt idx="157">
                  <c:v>58.840623712747963</c:v>
                </c:pt>
                <c:pt idx="158">
                  <c:v>59.18813416361877</c:v>
                </c:pt>
                <c:pt idx="159">
                  <c:v>59.593563022968056</c:v>
                </c:pt>
                <c:pt idx="160">
                  <c:v>59.998991882317313</c:v>
                </c:pt>
                <c:pt idx="161">
                  <c:v>60.346502333188127</c:v>
                </c:pt>
                <c:pt idx="162">
                  <c:v>60.751931192537405</c:v>
                </c:pt>
                <c:pt idx="163">
                  <c:v>61.15736005188667</c:v>
                </c:pt>
                <c:pt idx="164">
                  <c:v>61.562788911235948</c:v>
                </c:pt>
                <c:pt idx="165">
                  <c:v>61.968217770585213</c:v>
                </c:pt>
                <c:pt idx="166">
                  <c:v>62.489483446891427</c:v>
                </c:pt>
                <c:pt idx="167">
                  <c:v>62.836993897762227</c:v>
                </c:pt>
                <c:pt idx="168">
                  <c:v>63.30034116558997</c:v>
                </c:pt>
                <c:pt idx="169">
                  <c:v>63.879525250374648</c:v>
                </c:pt>
                <c:pt idx="170">
                  <c:v>64.574546152116255</c:v>
                </c:pt>
                <c:pt idx="171">
                  <c:v>65.037893419944012</c:v>
                </c:pt>
                <c:pt idx="172">
                  <c:v>65.385403870814812</c:v>
                </c:pt>
                <c:pt idx="173">
                  <c:v>65.559159096250212</c:v>
                </c:pt>
                <c:pt idx="174">
                  <c:v>65.790832730164084</c:v>
                </c:pt>
                <c:pt idx="175">
                  <c:v>66.022506364077941</c:v>
                </c:pt>
                <c:pt idx="176">
                  <c:v>66.196261589513355</c:v>
                </c:pt>
                <c:pt idx="177">
                  <c:v>66.543772040384169</c:v>
                </c:pt>
                <c:pt idx="178">
                  <c:v>66.891282491254955</c:v>
                </c:pt>
                <c:pt idx="179">
                  <c:v>67.180874533647298</c:v>
                </c:pt>
                <c:pt idx="180">
                  <c:v>67.470466576039641</c:v>
                </c:pt>
                <c:pt idx="181">
                  <c:v>67.875895435388927</c:v>
                </c:pt>
                <c:pt idx="182">
                  <c:v>68.165487477781241</c:v>
                </c:pt>
                <c:pt idx="183">
                  <c:v>68.512997928652069</c:v>
                </c:pt>
                <c:pt idx="184">
                  <c:v>68.860508379522869</c:v>
                </c:pt>
                <c:pt idx="185">
                  <c:v>69.207914660594255</c:v>
                </c:pt>
                <c:pt idx="186">
                  <c:v>69.613343519943527</c:v>
                </c:pt>
                <c:pt idx="187">
                  <c:v>69.902935562335855</c:v>
                </c:pt>
                <c:pt idx="188">
                  <c:v>70.366282830163613</c:v>
                </c:pt>
                <c:pt idx="189">
                  <c:v>70.655874872555955</c:v>
                </c:pt>
              </c:numCache>
            </c:numRef>
          </c:xVal>
          <c:yVal>
            <c:numRef>
              <c:f>'Excess Power'!$P$12:$P$201</c:f>
              <c:numCache>
                <c:formatCode>0.00</c:formatCode>
                <c:ptCount val="190"/>
                <c:pt idx="0">
                  <c:v>36.440393933808956</c:v>
                </c:pt>
                <c:pt idx="1">
                  <c:v>37.746670240874714</c:v>
                </c:pt>
                <c:pt idx="2">
                  <c:v>39.704703612584346</c:v>
                </c:pt>
                <c:pt idx="3">
                  <c:v>41.009618740094453</c:v>
                </c:pt>
                <c:pt idx="4">
                  <c:v>42.967558122384702</c:v>
                </c:pt>
                <c:pt idx="5">
                  <c:v>44.27231144147332</c:v>
                </c:pt>
                <c:pt idx="6">
                  <c:v>45.577123179591332</c:v>
                </c:pt>
                <c:pt idx="7">
                  <c:v>47.534922202012211</c:v>
                </c:pt>
                <c:pt idx="8">
                  <c:v>49.492663074608089</c:v>
                </c:pt>
                <c:pt idx="9">
                  <c:v>50.797354878712028</c:v>
                </c:pt>
                <c:pt idx="10">
                  <c:v>52.10192284523346</c:v>
                </c:pt>
                <c:pt idx="11">
                  <c:v>54.059513328573694</c:v>
                </c:pt>
                <c:pt idx="12">
                  <c:v>56.018660460225981</c:v>
                </c:pt>
                <c:pt idx="13">
                  <c:v>57.323112142430105</c:v>
                </c:pt>
                <c:pt idx="14">
                  <c:v>58.625975072667359</c:v>
                </c:pt>
                <c:pt idx="15">
                  <c:v>60.585002158982491</c:v>
                </c:pt>
                <c:pt idx="16">
                  <c:v>62.540734705570969</c:v>
                </c:pt>
                <c:pt idx="17">
                  <c:v>65.150932065363207</c:v>
                </c:pt>
                <c:pt idx="18">
                  <c:v>67.106451999656898</c:v>
                </c:pt>
                <c:pt idx="19">
                  <c:v>69.063516061415768</c:v>
                </c:pt>
                <c:pt idx="20">
                  <c:v>70.366025859110735</c:v>
                </c:pt>
                <c:pt idx="21">
                  <c:v>72.324625707031572</c:v>
                </c:pt>
                <c:pt idx="22">
                  <c:v>74.281487917765048</c:v>
                </c:pt>
                <c:pt idx="23">
                  <c:v>76.239990759107812</c:v>
                </c:pt>
                <c:pt idx="24">
                  <c:v>78.196721872594622</c:v>
                </c:pt>
                <c:pt idx="25">
                  <c:v>80.155125074645426</c:v>
                </c:pt>
                <c:pt idx="26">
                  <c:v>82.115333067813921</c:v>
                </c:pt>
                <c:pt idx="27">
                  <c:v>84.726460469727783</c:v>
                </c:pt>
                <c:pt idx="28">
                  <c:v>86.684731695639925</c:v>
                </c:pt>
                <c:pt idx="29">
                  <c:v>89.297527962386468</c:v>
                </c:pt>
                <c:pt idx="30">
                  <c:v>91.255528786407709</c:v>
                </c:pt>
                <c:pt idx="31">
                  <c:v>93.866305027303369</c:v>
                </c:pt>
                <c:pt idx="32">
                  <c:v>96.478857937788973</c:v>
                </c:pt>
                <c:pt idx="33">
                  <c:v>98.43706379368362</c:v>
                </c:pt>
                <c:pt idx="34">
                  <c:v>101.70093434104501</c:v>
                </c:pt>
                <c:pt idx="35">
                  <c:v>104.96377059928564</c:v>
                </c:pt>
                <c:pt idx="36">
                  <c:v>108.22842141330325</c:v>
                </c:pt>
                <c:pt idx="37">
                  <c:v>110.83868370329853</c:v>
                </c:pt>
                <c:pt idx="38">
                  <c:v>113.44885632305591</c:v>
                </c:pt>
                <c:pt idx="39">
                  <c:v>116.06185125226001</c:v>
                </c:pt>
                <c:pt idx="40">
                  <c:v>118.0186946136493</c:v>
                </c:pt>
                <c:pt idx="41">
                  <c:v>119.97842796699463</c:v>
                </c:pt>
                <c:pt idx="42">
                  <c:v>121.28383804311878</c:v>
                </c:pt>
                <c:pt idx="43">
                  <c:v>122.58832469874484</c:v>
                </c:pt>
                <c:pt idx="44">
                  <c:v>123.89161045533163</c:v>
                </c:pt>
                <c:pt idx="45">
                  <c:v>125.85332717539484</c:v>
                </c:pt>
                <c:pt idx="46">
                  <c:v>127.80994148845249</c:v>
                </c:pt>
                <c:pt idx="47">
                  <c:v>130.42047626059593</c:v>
                </c:pt>
                <c:pt idx="48">
                  <c:v>132.37696347891674</c:v>
                </c:pt>
                <c:pt idx="49">
                  <c:v>134.33429542213179</c:v>
                </c:pt>
                <c:pt idx="50">
                  <c:v>137.59888452713844</c:v>
                </c:pt>
                <c:pt idx="51">
                  <c:v>138.90309154900572</c:v>
                </c:pt>
                <c:pt idx="52">
                  <c:v>140.86025476554525</c:v>
                </c:pt>
                <c:pt idx="53">
                  <c:v>142.1643984901184</c:v>
                </c:pt>
                <c:pt idx="54">
                  <c:v>143.46716608910609</c:v>
                </c:pt>
                <c:pt idx="55">
                  <c:v>145.42417567281635</c:v>
                </c:pt>
                <c:pt idx="56">
                  <c:v>147.38112675768957</c:v>
                </c:pt>
                <c:pt idx="57">
                  <c:v>148.68281886016598</c:v>
                </c:pt>
                <c:pt idx="58">
                  <c:v>150.63965149668593</c:v>
                </c:pt>
                <c:pt idx="59">
                  <c:v>151.94212418368971</c:v>
                </c:pt>
                <c:pt idx="60">
                  <c:v>154.55076034244297</c:v>
                </c:pt>
                <c:pt idx="61">
                  <c:v>156.50649126673244</c:v>
                </c:pt>
                <c:pt idx="62">
                  <c:v>158.46063665339074</c:v>
                </c:pt>
                <c:pt idx="63">
                  <c:v>161.06897145137685</c:v>
                </c:pt>
                <c:pt idx="64">
                  <c:v>163.02040768735151</c:v>
                </c:pt>
                <c:pt idx="65">
                  <c:v>164.97921279625871</c:v>
                </c:pt>
                <c:pt idx="66">
                  <c:v>166.93546709886184</c:v>
                </c:pt>
                <c:pt idx="67">
                  <c:v>168.23645693872501</c:v>
                </c:pt>
                <c:pt idx="68">
                  <c:v>170.1900089473871</c:v>
                </c:pt>
                <c:pt idx="69">
                  <c:v>173.45033484627766</c:v>
                </c:pt>
                <c:pt idx="70">
                  <c:v>176.05792287889025</c:v>
                </c:pt>
                <c:pt idx="71">
                  <c:v>178.66003109720006</c:v>
                </c:pt>
                <c:pt idx="72">
                  <c:v>181.26731901743614</c:v>
                </c:pt>
                <c:pt idx="73">
                  <c:v>183.22018488684435</c:v>
                </c:pt>
                <c:pt idx="74">
                  <c:v>185.17480350352437</c:v>
                </c:pt>
                <c:pt idx="75">
                  <c:v>187.13025233830777</c:v>
                </c:pt>
                <c:pt idx="76">
                  <c:v>189.08280806595315</c:v>
                </c:pt>
                <c:pt idx="77">
                  <c:v>191.68380493188687</c:v>
                </c:pt>
                <c:pt idx="78">
                  <c:v>194.28158762405252</c:v>
                </c:pt>
                <c:pt idx="79">
                  <c:v>197.53715666386989</c:v>
                </c:pt>
                <c:pt idx="80">
                  <c:v>200.13419629869387</c:v>
                </c:pt>
                <c:pt idx="81">
                  <c:v>202.73391935204191</c:v>
                </c:pt>
                <c:pt idx="82">
                  <c:v>205.9844947424458</c:v>
                </c:pt>
                <c:pt idx="83">
                  <c:v>209.23554984091044</c:v>
                </c:pt>
                <c:pt idx="84">
                  <c:v>212.47872179528372</c:v>
                </c:pt>
                <c:pt idx="85">
                  <c:v>215.7245389682858</c:v>
                </c:pt>
                <c:pt idx="86">
                  <c:v>218.97410642916981</c:v>
                </c:pt>
                <c:pt idx="87">
                  <c:v>221.57150831480706</c:v>
                </c:pt>
                <c:pt idx="88">
                  <c:v>223.52132500984561</c:v>
                </c:pt>
                <c:pt idx="89">
                  <c:v>226.11817034378504</c:v>
                </c:pt>
                <c:pt idx="90">
                  <c:v>228.71104439094657</c:v>
                </c:pt>
                <c:pt idx="91">
                  <c:v>231.95032295892454</c:v>
                </c:pt>
                <c:pt idx="92">
                  <c:v>235.20398329990249</c:v>
                </c:pt>
                <c:pt idx="93">
                  <c:v>238.44678956165779</c:v>
                </c:pt>
                <c:pt idx="94">
                  <c:v>241.68806682907035</c:v>
                </c:pt>
                <c:pt idx="95">
                  <c:v>244.93359939805319</c:v>
                </c:pt>
                <c:pt idx="96">
                  <c:v>247.52343181768694</c:v>
                </c:pt>
                <c:pt idx="97">
                  <c:v>251.41720570354764</c:v>
                </c:pt>
                <c:pt idx="98">
                  <c:v>254.65690913988212</c:v>
                </c:pt>
                <c:pt idx="99">
                  <c:v>258.54500019167733</c:v>
                </c:pt>
                <c:pt idx="100">
                  <c:v>262.43754847641731</c:v>
                </c:pt>
                <c:pt idx="101">
                  <c:v>265.02440505448203</c:v>
                </c:pt>
                <c:pt idx="102">
                  <c:v>268.91103856142576</c:v>
                </c:pt>
                <c:pt idx="103">
                  <c:v>271.50132391891884</c:v>
                </c:pt>
                <c:pt idx="104">
                  <c:v>275.39030327883279</c:v>
                </c:pt>
                <c:pt idx="105">
                  <c:v>277.97479634002582</c:v>
                </c:pt>
                <c:pt idx="106">
                  <c:v>281.86329288155719</c:v>
                </c:pt>
                <c:pt idx="107">
                  <c:v>285.10086187284116</c:v>
                </c:pt>
                <c:pt idx="108">
                  <c:v>287.03942729465956</c:v>
                </c:pt>
                <c:pt idx="109">
                  <c:v>288.33364335867702</c:v>
                </c:pt>
                <c:pt idx="110">
                  <c:v>290.92602993141628</c:v>
                </c:pt>
                <c:pt idx="111">
                  <c:v>293.50762295092295</c:v>
                </c:pt>
                <c:pt idx="112">
                  <c:v>295.45029352707394</c:v>
                </c:pt>
                <c:pt idx="113">
                  <c:v>298.03633049374895</c:v>
                </c:pt>
                <c:pt idx="114">
                  <c:v>301.92048515625464</c:v>
                </c:pt>
                <c:pt idx="115">
                  <c:v>305.79734973831142</c:v>
                </c:pt>
                <c:pt idx="116">
                  <c:v>308.37597851858953</c:v>
                </c:pt>
                <c:pt idx="117">
                  <c:v>312.25190576861945</c:v>
                </c:pt>
                <c:pt idx="118">
                  <c:v>314.82908946585849</c:v>
                </c:pt>
                <c:pt idx="119">
                  <c:v>318.715130847198</c:v>
                </c:pt>
                <c:pt idx="120">
                  <c:v>320.63582376963899</c:v>
                </c:pt>
                <c:pt idx="121">
                  <c:v>325.16249480338848</c:v>
                </c:pt>
                <c:pt idx="122">
                  <c:v>329.02744427934255</c:v>
                </c:pt>
                <c:pt idx="123">
                  <c:v>332.25517485757638</c:v>
                </c:pt>
                <c:pt idx="124">
                  <c:v>335.48312801705868</c:v>
                </c:pt>
                <c:pt idx="125">
                  <c:v>338.70286568388616</c:v>
                </c:pt>
                <c:pt idx="126">
                  <c:v>342.57014194834022</c:v>
                </c:pt>
                <c:pt idx="127">
                  <c:v>345.14738546892636</c:v>
                </c:pt>
                <c:pt idx="128">
                  <c:v>349.01880521339785</c:v>
                </c:pt>
                <c:pt idx="129">
                  <c:v>351.58867376773497</c:v>
                </c:pt>
                <c:pt idx="130">
                  <c:v>354.81839073144221</c:v>
                </c:pt>
                <c:pt idx="131">
                  <c:v>357.39327711768084</c:v>
                </c:pt>
                <c:pt idx="132">
                  <c:v>359.9676290579734</c:v>
                </c:pt>
                <c:pt idx="133">
                  <c:v>362.5340090137334</c:v>
                </c:pt>
                <c:pt idx="134">
                  <c:v>365.76991412681008</c:v>
                </c:pt>
                <c:pt idx="135">
                  <c:v>368.32739263555203</c:v>
                </c:pt>
                <c:pt idx="136">
                  <c:v>370.90710716602746</c:v>
                </c:pt>
                <c:pt idx="137">
                  <c:v>374.12512016863002</c:v>
                </c:pt>
                <c:pt idx="138">
                  <c:v>376.68013166481018</c:v>
                </c:pt>
                <c:pt idx="139">
                  <c:v>378.60400710842652</c:v>
                </c:pt>
                <c:pt idx="140">
                  <c:v>380.51123033240049</c:v>
                </c:pt>
                <c:pt idx="141">
                  <c:v>383.06371773482437</c:v>
                </c:pt>
                <c:pt idx="142">
                  <c:v>384.96926556988899</c:v>
                </c:pt>
                <c:pt idx="143">
                  <c:v>386.87402190351168</c:v>
                </c:pt>
                <c:pt idx="144">
                  <c:v>389.43228059269336</c:v>
                </c:pt>
                <c:pt idx="145">
                  <c:v>391.33453549443493</c:v>
                </c:pt>
                <c:pt idx="146">
                  <c:v>393.24570957595404</c:v>
                </c:pt>
                <c:pt idx="147">
                  <c:v>395.79270936360115</c:v>
                </c:pt>
                <c:pt idx="148">
                  <c:v>397.68433523590136</c:v>
                </c:pt>
                <c:pt idx="149">
                  <c:v>399.58409471935971</c:v>
                </c:pt>
                <c:pt idx="150">
                  <c:v>402.13731882281121</c:v>
                </c:pt>
                <c:pt idx="151">
                  <c:v>404.68024414651518</c:v>
                </c:pt>
                <c:pt idx="152">
                  <c:v>406.56776116840513</c:v>
                </c:pt>
                <c:pt idx="153">
                  <c:v>409.10846071875642</c:v>
                </c:pt>
                <c:pt idx="154">
                  <c:v>412.29243806782137</c:v>
                </c:pt>
                <c:pt idx="155">
                  <c:v>414.83163254480178</c:v>
                </c:pt>
                <c:pt idx="156">
                  <c:v>417.37896284333237</c:v>
                </c:pt>
                <c:pt idx="157">
                  <c:v>419.90477394825416</c:v>
                </c:pt>
                <c:pt idx="158">
                  <c:v>421.80623005871325</c:v>
                </c:pt>
                <c:pt idx="159">
                  <c:v>423.6955624971456</c:v>
                </c:pt>
                <c:pt idx="160">
                  <c:v>426.23919198258102</c:v>
                </c:pt>
                <c:pt idx="161">
                  <c:v>428.13843677957823</c:v>
                </c:pt>
                <c:pt idx="162">
                  <c:v>430.0260730545524</c:v>
                </c:pt>
                <c:pt idx="163">
                  <c:v>431.25848882510354</c:v>
                </c:pt>
                <c:pt idx="164">
                  <c:v>432.48907794823276</c:v>
                </c:pt>
                <c:pt idx="165">
                  <c:v>433.71963428094091</c:v>
                </c:pt>
                <c:pt idx="166">
                  <c:v>435.58055476320487</c:v>
                </c:pt>
                <c:pt idx="167">
                  <c:v>436.16539968479094</c:v>
                </c:pt>
                <c:pt idx="168">
                  <c:v>438.03550413410113</c:v>
                </c:pt>
                <c:pt idx="169">
                  <c:v>439.87952197666385</c:v>
                </c:pt>
                <c:pt idx="170">
                  <c:v>441.69805442573255</c:v>
                </c:pt>
                <c:pt idx="171">
                  <c:v>443.56341387498884</c:v>
                </c:pt>
                <c:pt idx="172">
                  <c:v>444.14303929651555</c:v>
                </c:pt>
                <c:pt idx="173">
                  <c:v>444.76062929830942</c:v>
                </c:pt>
                <c:pt idx="174">
                  <c:v>444.05499873821634</c:v>
                </c:pt>
                <c:pt idx="175">
                  <c:v>443.34994267506158</c:v>
                </c:pt>
                <c:pt idx="176">
                  <c:v>443.31166132679118</c:v>
                </c:pt>
                <c:pt idx="177">
                  <c:v>441.9259454753564</c:v>
                </c:pt>
                <c:pt idx="178">
                  <c:v>441.19288886033183</c:v>
                </c:pt>
                <c:pt idx="179">
                  <c:v>441.12743969582027</c:v>
                </c:pt>
                <c:pt idx="180">
                  <c:v>439.75287118700408</c:v>
                </c:pt>
                <c:pt idx="181">
                  <c:v>439.00443851374041</c:v>
                </c:pt>
                <c:pt idx="182">
                  <c:v>438.93721444468775</c:v>
                </c:pt>
                <c:pt idx="183">
                  <c:v>437.54724978304068</c:v>
                </c:pt>
                <c:pt idx="184">
                  <c:v>436.8108224364309</c:v>
                </c:pt>
                <c:pt idx="185">
                  <c:v>436.07275349991545</c:v>
                </c:pt>
                <c:pt idx="186">
                  <c:v>434.66647022074739</c:v>
                </c:pt>
                <c:pt idx="187">
                  <c:v>433.9417510297871</c:v>
                </c:pt>
                <c:pt idx="188">
                  <c:v>432.51845538736455</c:v>
                </c:pt>
                <c:pt idx="189">
                  <c:v>431.79232653292115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AC7-4F7F-8744-068A57298B81}"/>
            </c:ext>
          </c:extLst>
        </c:ser>
        <c:ser>
          <c:idx val="4"/>
          <c:order val="3"/>
          <c:tx>
            <c:v>IV Gear</c:v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'Excess Power'!$R$12:$R$201</c:f>
              <c:numCache>
                <c:formatCode>0.00</c:formatCode>
                <c:ptCount val="190"/>
                <c:pt idx="0">
                  <c:v>13.830750111930403</c:v>
                </c:pt>
                <c:pt idx="1">
                  <c:v>13.984486558596403</c:v>
                </c:pt>
                <c:pt idx="2">
                  <c:v>14.291959451928401</c:v>
                </c:pt>
                <c:pt idx="3">
                  <c:v>14.522564121927402</c:v>
                </c:pt>
                <c:pt idx="4">
                  <c:v>14.830037015259402</c:v>
                </c:pt>
                <c:pt idx="5">
                  <c:v>15.0606416852584</c:v>
                </c:pt>
                <c:pt idx="6">
                  <c:v>15.2912463552574</c:v>
                </c:pt>
                <c:pt idx="7">
                  <c:v>15.598719248589399</c:v>
                </c:pt>
                <c:pt idx="8">
                  <c:v>15.9061921419214</c:v>
                </c:pt>
                <c:pt idx="9">
                  <c:v>16.136796811920398</c:v>
                </c:pt>
                <c:pt idx="10">
                  <c:v>16.367401481919398</c:v>
                </c:pt>
                <c:pt idx="11">
                  <c:v>16.674874375251395</c:v>
                </c:pt>
                <c:pt idx="12">
                  <c:v>16.905479045250399</c:v>
                </c:pt>
                <c:pt idx="13">
                  <c:v>17.136083715249399</c:v>
                </c:pt>
                <c:pt idx="14">
                  <c:v>17.443556608581396</c:v>
                </c:pt>
                <c:pt idx="15">
                  <c:v>17.674161278580396</c:v>
                </c:pt>
                <c:pt idx="16">
                  <c:v>18.058502395245391</c:v>
                </c:pt>
                <c:pt idx="17">
                  <c:v>18.442843511910393</c:v>
                </c:pt>
                <c:pt idx="18">
                  <c:v>18.827184628575392</c:v>
                </c:pt>
                <c:pt idx="19">
                  <c:v>19.134519269707152</c:v>
                </c:pt>
                <c:pt idx="20">
                  <c:v>19.441992163039153</c:v>
                </c:pt>
                <c:pt idx="21">
                  <c:v>19.672596833038153</c:v>
                </c:pt>
                <c:pt idx="22">
                  <c:v>19.980069726370154</c:v>
                </c:pt>
                <c:pt idx="23">
                  <c:v>20.21067439636915</c:v>
                </c:pt>
                <c:pt idx="24">
                  <c:v>20.518147289701147</c:v>
                </c:pt>
                <c:pt idx="25">
                  <c:v>20.748751959700151</c:v>
                </c:pt>
                <c:pt idx="26">
                  <c:v>20.90248840636615</c:v>
                </c:pt>
                <c:pt idx="27">
                  <c:v>21.209961299698151</c:v>
                </c:pt>
                <c:pt idx="28">
                  <c:v>21.440565969697147</c:v>
                </c:pt>
                <c:pt idx="29">
                  <c:v>21.671170639696143</c:v>
                </c:pt>
                <c:pt idx="30">
                  <c:v>21.901775309695147</c:v>
                </c:pt>
                <c:pt idx="31">
                  <c:v>22.209248203027148</c:v>
                </c:pt>
                <c:pt idx="32">
                  <c:v>22.439852873026144</c:v>
                </c:pt>
                <c:pt idx="33">
                  <c:v>22.670457543025147</c:v>
                </c:pt>
                <c:pt idx="34">
                  <c:v>23.054798659690142</c:v>
                </c:pt>
                <c:pt idx="35">
                  <c:v>23.439139776355148</c:v>
                </c:pt>
                <c:pt idx="36">
                  <c:v>23.746612669687142</c:v>
                </c:pt>
                <c:pt idx="37">
                  <c:v>24.054085563019139</c:v>
                </c:pt>
                <c:pt idx="38">
                  <c:v>24.361558456351137</c:v>
                </c:pt>
                <c:pt idx="39">
                  <c:v>24.592163126350137</c:v>
                </c:pt>
                <c:pt idx="40">
                  <c:v>24.82276779634914</c:v>
                </c:pt>
                <c:pt idx="41">
                  <c:v>24.976504243015139</c:v>
                </c:pt>
                <c:pt idx="42">
                  <c:v>25.130240689681141</c:v>
                </c:pt>
                <c:pt idx="43">
                  <c:v>25.28397713634714</c:v>
                </c:pt>
                <c:pt idx="44">
                  <c:v>25.51458180634614</c:v>
                </c:pt>
                <c:pt idx="45">
                  <c:v>25.591450029679137</c:v>
                </c:pt>
                <c:pt idx="46">
                  <c:v>25.822054699678137</c:v>
                </c:pt>
                <c:pt idx="47">
                  <c:v>26.129527593010138</c:v>
                </c:pt>
                <c:pt idx="48">
                  <c:v>26.360132263009138</c:v>
                </c:pt>
                <c:pt idx="49">
                  <c:v>26.590736933008138</c:v>
                </c:pt>
                <c:pt idx="50">
                  <c:v>26.898209826340135</c:v>
                </c:pt>
                <c:pt idx="51">
                  <c:v>27.051946273006134</c:v>
                </c:pt>
                <c:pt idx="52">
                  <c:v>27.282550943005134</c:v>
                </c:pt>
                <c:pt idx="53">
                  <c:v>27.436287389671133</c:v>
                </c:pt>
                <c:pt idx="54">
                  <c:v>27.666892059670136</c:v>
                </c:pt>
                <c:pt idx="55">
                  <c:v>27.897496729669133</c:v>
                </c:pt>
                <c:pt idx="56">
                  <c:v>28.128101399668132</c:v>
                </c:pt>
                <c:pt idx="57">
                  <c:v>28.358706069667132</c:v>
                </c:pt>
                <c:pt idx="58">
                  <c:v>28.589310739666129</c:v>
                </c:pt>
                <c:pt idx="59">
                  <c:v>28.819915409665132</c:v>
                </c:pt>
                <c:pt idx="60">
                  <c:v>29.127388302997126</c:v>
                </c:pt>
                <c:pt idx="61">
                  <c:v>29.357992972996136</c:v>
                </c:pt>
                <c:pt idx="62">
                  <c:v>29.66546586632813</c:v>
                </c:pt>
                <c:pt idx="63">
                  <c:v>29.972938759660124</c:v>
                </c:pt>
                <c:pt idx="64">
                  <c:v>30.357279876325126</c:v>
                </c:pt>
                <c:pt idx="65">
                  <c:v>30.511016322991129</c:v>
                </c:pt>
                <c:pt idx="66">
                  <c:v>30.741620992990132</c:v>
                </c:pt>
                <c:pt idx="67">
                  <c:v>30.972225662989128</c:v>
                </c:pt>
                <c:pt idx="68">
                  <c:v>31.279698556321129</c:v>
                </c:pt>
                <c:pt idx="69">
                  <c:v>31.664039672986124</c:v>
                </c:pt>
                <c:pt idx="70">
                  <c:v>31.971512566318133</c:v>
                </c:pt>
                <c:pt idx="71">
                  <c:v>32.432721906316125</c:v>
                </c:pt>
                <c:pt idx="72">
                  <c:v>32.74019479964813</c:v>
                </c:pt>
                <c:pt idx="73">
                  <c:v>33.04766769298012</c:v>
                </c:pt>
                <c:pt idx="74">
                  <c:v>33.278272362979123</c:v>
                </c:pt>
                <c:pt idx="75">
                  <c:v>33.50887703297812</c:v>
                </c:pt>
                <c:pt idx="76">
                  <c:v>33.816349926310117</c:v>
                </c:pt>
                <c:pt idx="77">
                  <c:v>34.277559266308117</c:v>
                </c:pt>
                <c:pt idx="78">
                  <c:v>34.815636829639118</c:v>
                </c:pt>
                <c:pt idx="79">
                  <c:v>35.276846169637118</c:v>
                </c:pt>
                <c:pt idx="80">
                  <c:v>35.814923732968118</c:v>
                </c:pt>
                <c:pt idx="81">
                  <c:v>36.276133072966111</c:v>
                </c:pt>
                <c:pt idx="82">
                  <c:v>36.814210636297112</c:v>
                </c:pt>
                <c:pt idx="83">
                  <c:v>37.35228819962812</c:v>
                </c:pt>
                <c:pt idx="84">
                  <c:v>38.044102209625116</c:v>
                </c:pt>
                <c:pt idx="85">
                  <c:v>38.659047996289111</c:v>
                </c:pt>
                <c:pt idx="86">
                  <c:v>39.197125559620105</c:v>
                </c:pt>
                <c:pt idx="87">
                  <c:v>39.658334899618112</c:v>
                </c:pt>
                <c:pt idx="88">
                  <c:v>39.965807792950102</c:v>
                </c:pt>
                <c:pt idx="89">
                  <c:v>40.427017132948109</c:v>
                </c:pt>
                <c:pt idx="90">
                  <c:v>40.96509469627911</c:v>
                </c:pt>
                <c:pt idx="91">
                  <c:v>41.656908706276106</c:v>
                </c:pt>
                <c:pt idx="92">
                  <c:v>42.041249822941104</c:v>
                </c:pt>
                <c:pt idx="93">
                  <c:v>42.656195609605092</c:v>
                </c:pt>
                <c:pt idx="94">
                  <c:v>43.271003144068864</c:v>
                </c:pt>
                <c:pt idx="95">
                  <c:v>43.809080707399858</c:v>
                </c:pt>
                <c:pt idx="96">
                  <c:v>44.347158270730858</c:v>
                </c:pt>
                <c:pt idx="97">
                  <c:v>44.962104057394853</c:v>
                </c:pt>
                <c:pt idx="98">
                  <c:v>45.577049844058855</c:v>
                </c:pt>
                <c:pt idx="99">
                  <c:v>46.268863854055851</c:v>
                </c:pt>
                <c:pt idx="100">
                  <c:v>46.883809640719853</c:v>
                </c:pt>
                <c:pt idx="101">
                  <c:v>47.421887204050854</c:v>
                </c:pt>
                <c:pt idx="102">
                  <c:v>48.11370121404785</c:v>
                </c:pt>
                <c:pt idx="103">
                  <c:v>48.57491055404585</c:v>
                </c:pt>
                <c:pt idx="104">
                  <c:v>49.189856340709845</c:v>
                </c:pt>
                <c:pt idx="105">
                  <c:v>49.727933904040853</c:v>
                </c:pt>
                <c:pt idx="106">
                  <c:v>50.342879690704848</c:v>
                </c:pt>
                <c:pt idx="107">
                  <c:v>50.880957254035849</c:v>
                </c:pt>
                <c:pt idx="108">
                  <c:v>51.26529837070084</c:v>
                </c:pt>
                <c:pt idx="109">
                  <c:v>51.495903040699844</c:v>
                </c:pt>
                <c:pt idx="110">
                  <c:v>51.880244157364835</c:v>
                </c:pt>
                <c:pt idx="111">
                  <c:v>52.41832172069585</c:v>
                </c:pt>
                <c:pt idx="112">
                  <c:v>52.725794614027841</c:v>
                </c:pt>
                <c:pt idx="113">
                  <c:v>53.18700395402584</c:v>
                </c:pt>
                <c:pt idx="114">
                  <c:v>53.801949740689835</c:v>
                </c:pt>
                <c:pt idx="115">
                  <c:v>54.493763750686831</c:v>
                </c:pt>
                <c:pt idx="116">
                  <c:v>55.031841314017839</c:v>
                </c:pt>
                <c:pt idx="117">
                  <c:v>55.723655324014835</c:v>
                </c:pt>
                <c:pt idx="118">
                  <c:v>56.261732887345829</c:v>
                </c:pt>
                <c:pt idx="119">
                  <c:v>56.799810450676837</c:v>
                </c:pt>
                <c:pt idx="120">
                  <c:v>57.337888014007838</c:v>
                </c:pt>
                <c:pt idx="121">
                  <c:v>58.029702024004834</c:v>
                </c:pt>
                <c:pt idx="122">
                  <c:v>58.798384257334831</c:v>
                </c:pt>
                <c:pt idx="123">
                  <c:v>59.336461820665825</c:v>
                </c:pt>
                <c:pt idx="124">
                  <c:v>59.874539383996826</c:v>
                </c:pt>
                <c:pt idx="125">
                  <c:v>60.489485170660828</c:v>
                </c:pt>
                <c:pt idx="126">
                  <c:v>61.181299180657824</c:v>
                </c:pt>
                <c:pt idx="127">
                  <c:v>61.642508520655831</c:v>
                </c:pt>
                <c:pt idx="128">
                  <c:v>62.257454307319833</c:v>
                </c:pt>
                <c:pt idx="129">
                  <c:v>62.795531870650819</c:v>
                </c:pt>
                <c:pt idx="130">
                  <c:v>63.256741210648819</c:v>
                </c:pt>
                <c:pt idx="131">
                  <c:v>63.717950550646812</c:v>
                </c:pt>
                <c:pt idx="132">
                  <c:v>64.179159890644826</c:v>
                </c:pt>
                <c:pt idx="133">
                  <c:v>64.717237453975827</c:v>
                </c:pt>
                <c:pt idx="134">
                  <c:v>65.101578570640825</c:v>
                </c:pt>
                <c:pt idx="135">
                  <c:v>65.71652435730482</c:v>
                </c:pt>
                <c:pt idx="136">
                  <c:v>66.100865473969819</c:v>
                </c:pt>
                <c:pt idx="137">
                  <c:v>66.63894303730082</c:v>
                </c:pt>
                <c:pt idx="138">
                  <c:v>67.253888823964814</c:v>
                </c:pt>
                <c:pt idx="139">
                  <c:v>67.638091688429569</c:v>
                </c:pt>
                <c:pt idx="140">
                  <c:v>68.17616925176057</c:v>
                </c:pt>
                <c:pt idx="141">
                  <c:v>68.791115038424564</c:v>
                </c:pt>
                <c:pt idx="142">
                  <c:v>69.329192601755565</c:v>
                </c:pt>
                <c:pt idx="143">
                  <c:v>69.867270165086566</c:v>
                </c:pt>
                <c:pt idx="144">
                  <c:v>70.405347728417567</c:v>
                </c:pt>
                <c:pt idx="145">
                  <c:v>70.943425291748568</c:v>
                </c:pt>
                <c:pt idx="146">
                  <c:v>71.404634631746575</c:v>
                </c:pt>
                <c:pt idx="147">
                  <c:v>72.01958041841057</c:v>
                </c:pt>
                <c:pt idx="148">
                  <c:v>72.634526205074565</c:v>
                </c:pt>
                <c:pt idx="149">
                  <c:v>73.172603768405537</c:v>
                </c:pt>
                <c:pt idx="150">
                  <c:v>73.710681331736566</c:v>
                </c:pt>
                <c:pt idx="151">
                  <c:v>74.325627118400561</c:v>
                </c:pt>
                <c:pt idx="152">
                  <c:v>74.940572905064542</c:v>
                </c:pt>
                <c:pt idx="153">
                  <c:v>75.555518691728551</c:v>
                </c:pt>
                <c:pt idx="154">
                  <c:v>76.247332701725554</c:v>
                </c:pt>
                <c:pt idx="155">
                  <c:v>76.862278488389549</c:v>
                </c:pt>
                <c:pt idx="156">
                  <c:v>77.40035605172055</c:v>
                </c:pt>
                <c:pt idx="157">
                  <c:v>78.092170061717539</c:v>
                </c:pt>
                <c:pt idx="158">
                  <c:v>78.55337940171556</c:v>
                </c:pt>
                <c:pt idx="159">
                  <c:v>79.091456965046547</c:v>
                </c:pt>
                <c:pt idx="160">
                  <c:v>79.629534528377548</c:v>
                </c:pt>
                <c:pt idx="161">
                  <c:v>80.090743868375554</c:v>
                </c:pt>
                <c:pt idx="162">
                  <c:v>80.628821431706541</c:v>
                </c:pt>
                <c:pt idx="163">
                  <c:v>81.166898995037556</c:v>
                </c:pt>
                <c:pt idx="164">
                  <c:v>81.704976558368557</c:v>
                </c:pt>
                <c:pt idx="165">
                  <c:v>82.243054121699544</c:v>
                </c:pt>
                <c:pt idx="166">
                  <c:v>82.934868131696547</c:v>
                </c:pt>
                <c:pt idx="167">
                  <c:v>83.396077471694539</c:v>
                </c:pt>
                <c:pt idx="168">
                  <c:v>84.011023258358534</c:v>
                </c:pt>
                <c:pt idx="169">
                  <c:v>84.779705491688532</c:v>
                </c:pt>
                <c:pt idx="170">
                  <c:v>85.702124171684531</c:v>
                </c:pt>
                <c:pt idx="171">
                  <c:v>86.317069958348526</c:v>
                </c:pt>
                <c:pt idx="172">
                  <c:v>86.778279298346547</c:v>
                </c:pt>
                <c:pt idx="173">
                  <c:v>87.008883968345529</c:v>
                </c:pt>
                <c:pt idx="174">
                  <c:v>87.316356861677519</c:v>
                </c:pt>
                <c:pt idx="175">
                  <c:v>87.623829755009538</c:v>
                </c:pt>
                <c:pt idx="176">
                  <c:v>87.85443442500852</c:v>
                </c:pt>
                <c:pt idx="177">
                  <c:v>88.315643765006527</c:v>
                </c:pt>
                <c:pt idx="178">
                  <c:v>88.77685310500452</c:v>
                </c:pt>
                <c:pt idx="179">
                  <c:v>89.161194221669533</c:v>
                </c:pt>
                <c:pt idx="180">
                  <c:v>89.545535338334531</c:v>
                </c:pt>
                <c:pt idx="181">
                  <c:v>90.083612901665532</c:v>
                </c:pt>
                <c:pt idx="182">
                  <c:v>90.467954018330516</c:v>
                </c:pt>
                <c:pt idx="183">
                  <c:v>90.929163358328523</c:v>
                </c:pt>
                <c:pt idx="184">
                  <c:v>91.390372698326516</c:v>
                </c:pt>
                <c:pt idx="185">
                  <c:v>91.851443786124278</c:v>
                </c:pt>
                <c:pt idx="186">
                  <c:v>92.389521349455293</c:v>
                </c:pt>
                <c:pt idx="187">
                  <c:v>92.773862466120278</c:v>
                </c:pt>
                <c:pt idx="188">
                  <c:v>93.388808252784287</c:v>
                </c:pt>
                <c:pt idx="189">
                  <c:v>93.773149369449285</c:v>
                </c:pt>
              </c:numCache>
            </c:numRef>
          </c:xVal>
          <c:yVal>
            <c:numRef>
              <c:f>'Excess Power'!$T$12:$T$201</c:f>
              <c:numCache>
                <c:formatCode>0.00</c:formatCode>
                <c:ptCount val="190"/>
                <c:pt idx="0">
                  <c:v>36.35274919491355</c:v>
                </c:pt>
                <c:pt idx="1">
                  <c:v>37.65752555222776</c:v>
                </c:pt>
                <c:pt idx="2">
                  <c:v>39.612506529446385</c:v>
                </c:pt>
                <c:pt idx="3">
                  <c:v>40.915085673300631</c:v>
                </c:pt>
                <c:pt idx="4">
                  <c:v>42.869846930495129</c:v>
                </c:pt>
                <c:pt idx="5">
                  <c:v>44.1721682070702</c:v>
                </c:pt>
                <c:pt idx="6">
                  <c:v>45.474505656488247</c:v>
                </c:pt>
                <c:pt idx="7">
                  <c:v>47.42893879298483</c:v>
                </c:pt>
                <c:pt idx="8">
                  <c:v>49.383235992042536</c:v>
                </c:pt>
                <c:pt idx="9">
                  <c:v>50.685293070492897</c:v>
                </c:pt>
                <c:pt idx="10">
                  <c:v>51.987181046481567</c:v>
                </c:pt>
                <c:pt idx="11">
                  <c:v>53.941126679042789</c:v>
                </c:pt>
                <c:pt idx="12">
                  <c:v>55.897485686533571</c:v>
                </c:pt>
                <c:pt idx="13">
                  <c:v>57.199101823487879</c:v>
                </c:pt>
                <c:pt idx="14">
                  <c:v>58.498109142553666</c:v>
                </c:pt>
                <c:pt idx="15">
                  <c:v>60.454187518835631</c:v>
                </c:pt>
                <c:pt idx="16">
                  <c:v>62.404895057491736</c:v>
                </c:pt>
                <c:pt idx="17">
                  <c:v>65.009926699901641</c:v>
                </c:pt>
                <c:pt idx="18">
                  <c:v>66.960137212628169</c:v>
                </c:pt>
                <c:pt idx="19">
                  <c:v>68.91285023627799</c:v>
                </c:pt>
                <c:pt idx="20">
                  <c:v>70.210911639880933</c:v>
                </c:pt>
                <c:pt idx="21">
                  <c:v>72.166111650529629</c:v>
                </c:pt>
                <c:pt idx="22">
                  <c:v>74.118354792791649</c:v>
                </c:pt>
                <c:pt idx="23">
                  <c:v>76.073328030173613</c:v>
                </c:pt>
                <c:pt idx="24">
                  <c:v>78.02526470506524</c:v>
                </c:pt>
                <c:pt idx="25">
                  <c:v>79.980005014658346</c:v>
                </c:pt>
                <c:pt idx="26">
                  <c:v>81.937738785148099</c:v>
                </c:pt>
                <c:pt idx="27">
                  <c:v>84.543839372724264</c:v>
                </c:pt>
                <c:pt idx="28">
                  <c:v>86.498271160352218</c:v>
                </c:pt>
                <c:pt idx="29">
                  <c:v>89.10716784648028</c:v>
                </c:pt>
                <c:pt idx="30">
                  <c:v>91.061208300686019</c:v>
                </c:pt>
                <c:pt idx="31">
                  <c:v>93.666608369486795</c:v>
                </c:pt>
                <c:pt idx="32">
                  <c:v>96.275056553119853</c:v>
                </c:pt>
                <c:pt idx="33">
                  <c:v>98.229094736755798</c:v>
                </c:pt>
                <c:pt idx="34">
                  <c:v>101.48587752809455</c:v>
                </c:pt>
                <c:pt idx="35">
                  <c:v>104.7414463903863</c:v>
                </c:pt>
                <c:pt idx="36">
                  <c:v>108.00015193443609</c:v>
                </c:pt>
                <c:pt idx="37">
                  <c:v>110.60435053497615</c:v>
                </c:pt>
                <c:pt idx="38">
                  <c:v>113.20833951248667</c:v>
                </c:pt>
                <c:pt idx="39">
                  <c:v>115.81661706860778</c:v>
                </c:pt>
                <c:pt idx="40">
                  <c:v>117.7686740741224</c:v>
                </c:pt>
                <c:pt idx="41">
                  <c:v>119.72517788033974</c:v>
                </c:pt>
                <c:pt idx="42">
                  <c:v>121.02732727115978</c:v>
                </c:pt>
                <c:pt idx="43">
                  <c:v>122.32852191164261</c:v>
                </c:pt>
                <c:pt idx="44">
                  <c:v>123.62681048280328</c:v>
                </c:pt>
                <c:pt idx="45">
                  <c:v>125.58684560183657</c:v>
                </c:pt>
                <c:pt idx="46">
                  <c:v>127.53836715873068</c:v>
                </c:pt>
                <c:pt idx="47">
                  <c:v>130.14199880438952</c:v>
                </c:pt>
                <c:pt idx="48">
                  <c:v>132.09322325062118</c:v>
                </c:pt>
                <c:pt idx="49">
                  <c:v>134.04521847967447</c:v>
                </c:pt>
                <c:pt idx="50">
                  <c:v>137.30257582676251</c:v>
                </c:pt>
                <c:pt idx="51">
                  <c:v>138.60311676455598</c:v>
                </c:pt>
                <c:pt idx="52">
                  <c:v>140.55471755953934</c:v>
                </c:pt>
                <c:pt idx="53">
                  <c:v>141.85511052660289</c:v>
                </c:pt>
                <c:pt idx="54">
                  <c:v>143.15218779546026</c:v>
                </c:pt>
                <c:pt idx="55">
                  <c:v>145.10342944141206</c:v>
                </c:pt>
                <c:pt idx="56">
                  <c:v>147.05453433403591</c:v>
                </c:pt>
                <c:pt idx="57">
                  <c:v>148.35030134290938</c:v>
                </c:pt>
                <c:pt idx="58">
                  <c:v>150.30112933760998</c:v>
                </c:pt>
                <c:pt idx="59">
                  <c:v>151.59751718771531</c:v>
                </c:pt>
                <c:pt idx="60">
                  <c:v>154.19791436466883</c:v>
                </c:pt>
                <c:pt idx="61">
                  <c:v>156.14737081463133</c:v>
                </c:pt>
                <c:pt idx="62">
                  <c:v>158.09302202171301</c:v>
                </c:pt>
                <c:pt idx="63">
                  <c:v>160.69271470452813</c:v>
                </c:pt>
                <c:pt idx="64">
                  <c:v>162.63313792621614</c:v>
                </c:pt>
                <c:pt idx="65">
                  <c:v>164.58747176594488</c:v>
                </c:pt>
                <c:pt idx="66">
                  <c:v>166.53694778355074</c:v>
                </c:pt>
                <c:pt idx="67">
                  <c:v>167.83107310595204</c:v>
                </c:pt>
                <c:pt idx="68">
                  <c:v>169.77533716724113</c:v>
                </c:pt>
                <c:pt idx="69">
                  <c:v>173.02383359770388</c:v>
                </c:pt>
                <c:pt idx="70">
                  <c:v>175.62178055949036</c:v>
                </c:pt>
                <c:pt idx="71">
                  <c:v>178.20912775107266</c:v>
                </c:pt>
                <c:pt idx="72">
                  <c:v>180.80637313709616</c:v>
                </c:pt>
                <c:pt idx="73">
                  <c:v>182.74903320365476</c:v>
                </c:pt>
                <c:pt idx="74">
                  <c:v>184.6958894007762</c:v>
                </c:pt>
                <c:pt idx="75">
                  <c:v>186.64348246804627</c:v>
                </c:pt>
                <c:pt idx="76">
                  <c:v>188.58541751304327</c:v>
                </c:pt>
                <c:pt idx="77">
                  <c:v>191.17016668484322</c:v>
                </c:pt>
                <c:pt idx="78">
                  <c:v>193.74850727363508</c:v>
                </c:pt>
                <c:pt idx="79">
                  <c:v>196.98698876992077</c:v>
                </c:pt>
                <c:pt idx="80">
                  <c:v>199.5635923059879</c:v>
                </c:pt>
                <c:pt idx="81">
                  <c:v>202.14536367311692</c:v>
                </c:pt>
                <c:pt idx="82">
                  <c:v>205.37448062720992</c:v>
                </c:pt>
                <c:pt idx="83">
                  <c:v>208.60351506055076</c:v>
                </c:pt>
                <c:pt idx="84">
                  <c:v>211.81753537431089</c:v>
                </c:pt>
                <c:pt idx="85">
                  <c:v>215.03663421884823</c:v>
                </c:pt>
                <c:pt idx="86">
                  <c:v>218.26219098664697</c:v>
                </c:pt>
                <c:pt idx="87">
                  <c:v>220.83853613634884</c:v>
                </c:pt>
                <c:pt idx="88">
                  <c:v>222.77406811689019</c:v>
                </c:pt>
                <c:pt idx="89">
                  <c:v>225.34911221001281</c:v>
                </c:pt>
                <c:pt idx="90">
                  <c:v>227.91597780932378</c:v>
                </c:pt>
                <c:pt idx="91">
                  <c:v>231.12089651400564</c:v>
                </c:pt>
                <c:pt idx="92">
                  <c:v>234.35501474094301</c:v>
                </c:pt>
                <c:pt idx="93">
                  <c:v>237.56587100837808</c:v>
                </c:pt>
                <c:pt idx="94">
                  <c:v>240.77435488151161</c:v>
                </c:pt>
                <c:pt idx="95">
                  <c:v>243.99047924136801</c:v>
                </c:pt>
                <c:pt idx="96">
                  <c:v>246.55023439699096</c:v>
                </c:pt>
                <c:pt idx="97">
                  <c:v>250.40880447449365</c:v>
                </c:pt>
                <c:pt idx="98">
                  <c:v>253.61240723530207</c:v>
                </c:pt>
                <c:pt idx="99">
                  <c:v>257.45879771744575</c:v>
                </c:pt>
                <c:pt idx="100">
                  <c:v>261.31329875553314</c:v>
                </c:pt>
                <c:pt idx="101">
                  <c:v>263.86609725597464</c:v>
                </c:pt>
                <c:pt idx="102">
                  <c:v>267.70787648147848</c:v>
                </c:pt>
                <c:pt idx="103">
                  <c:v>270.26758525076849</c:v>
                </c:pt>
                <c:pt idx="104">
                  <c:v>274.11494711607435</c:v>
                </c:pt>
                <c:pt idx="105">
                  <c:v>276.66222039902345</c:v>
                </c:pt>
                <c:pt idx="106">
                  <c:v>280.50724963569547</c:v>
                </c:pt>
                <c:pt idx="107">
                  <c:v>283.70596139793588</c:v>
                </c:pt>
                <c:pt idx="108">
                  <c:v>285.61629638612362</c:v>
                </c:pt>
                <c:pt idx="109">
                  <c:v>286.89338264447866</c:v>
                </c:pt>
                <c:pt idx="110">
                  <c:v>289.45689822229104</c:v>
                </c:pt>
                <c:pt idx="111">
                  <c:v>291.99739204821753</c:v>
                </c:pt>
                <c:pt idx="112">
                  <c:v>293.91621847376445</c:v>
                </c:pt>
                <c:pt idx="113">
                  <c:v>296.46599573651713</c:v>
                </c:pt>
                <c:pt idx="114">
                  <c:v>300.30087491831529</c:v>
                </c:pt>
                <c:pt idx="115">
                  <c:v>304.12102116767215</c:v>
                </c:pt>
                <c:pt idx="116">
                  <c:v>306.65458546132663</c:v>
                </c:pt>
                <c:pt idx="117">
                  <c:v>310.47133656086839</c:v>
                </c:pt>
                <c:pt idx="118">
                  <c:v>313.00152266916666</c:v>
                </c:pt>
                <c:pt idx="119">
                  <c:v>316.83970722903678</c:v>
                </c:pt>
                <c:pt idx="120">
                  <c:v>318.71167587992727</c:v>
                </c:pt>
                <c:pt idx="121">
                  <c:v>323.17441357640649</c:v>
                </c:pt>
                <c:pt idx="122">
                  <c:v>326.96660704533315</c:v>
                </c:pt>
                <c:pt idx="123">
                  <c:v>330.14231944906118</c:v>
                </c:pt>
                <c:pt idx="124">
                  <c:v>333.31734824406607</c:v>
                </c:pt>
                <c:pt idx="125">
                  <c:v>336.47548076107915</c:v>
                </c:pt>
                <c:pt idx="126">
                  <c:v>340.27200836342371</c:v>
                </c:pt>
                <c:pt idx="127">
                  <c:v>342.80122909758518</c:v>
                </c:pt>
                <c:pt idx="128">
                  <c:v>346.60754167081092</c:v>
                </c:pt>
                <c:pt idx="129">
                  <c:v>349.11942315577534</c:v>
                </c:pt>
                <c:pt idx="130">
                  <c:v>352.29867392929498</c:v>
                </c:pt>
                <c:pt idx="131">
                  <c:v>354.82238436645594</c:v>
                </c:pt>
                <c:pt idx="132">
                  <c:v>357.34484542387895</c:v>
                </c:pt>
                <c:pt idx="133">
                  <c:v>359.84977551555289</c:v>
                </c:pt>
                <c:pt idx="134">
                  <c:v>363.04118322599288</c:v>
                </c:pt>
                <c:pt idx="135">
                  <c:v>365.52640953798772</c:v>
                </c:pt>
                <c:pt idx="136">
                  <c:v>368.06030155337942</c:v>
                </c:pt>
                <c:pt idx="137">
                  <c:v>371.21329708146169</c:v>
                </c:pt>
                <c:pt idx="138">
                  <c:v>373.69275623303389</c:v>
                </c:pt>
                <c:pt idx="139">
                  <c:v>375.56874832156825</c:v>
                </c:pt>
                <c:pt idx="140">
                  <c:v>377.40802478182053</c:v>
                </c:pt>
                <c:pt idx="141">
                  <c:v>379.88158333367966</c:v>
                </c:pt>
                <c:pt idx="142">
                  <c:v>381.71694322019431</c:v>
                </c:pt>
                <c:pt idx="143">
                  <c:v>383.55045280571687</c:v>
                </c:pt>
                <c:pt idx="144">
                  <c:v>386.03639772969592</c:v>
                </c:pt>
                <c:pt idx="145">
                  <c:v>387.86526363157969</c:v>
                </c:pt>
                <c:pt idx="146">
                  <c:v>389.71267082801808</c:v>
                </c:pt>
                <c:pt idx="147">
                  <c:v>392.17340092685481</c:v>
                </c:pt>
                <c:pt idx="148">
                  <c:v>393.97732052283425</c:v>
                </c:pt>
                <c:pt idx="149">
                  <c:v>395.7991489207734</c:v>
                </c:pt>
                <c:pt idx="150">
                  <c:v>398.27332444235185</c:v>
                </c:pt>
                <c:pt idx="151">
                  <c:v>400.72452962528041</c:v>
                </c:pt>
                <c:pt idx="152">
                  <c:v>402.5188439197567</c:v>
                </c:pt>
                <c:pt idx="153">
                  <c:v>404.96484588962181</c:v>
                </c:pt>
                <c:pt idx="154">
                  <c:v>408.04048637092876</c:v>
                </c:pt>
                <c:pt idx="155">
                  <c:v>410.48176597624973</c:v>
                </c:pt>
                <c:pt idx="156">
                  <c:v>412.94216348996389</c:v>
                </c:pt>
                <c:pt idx="157">
                  <c:v>415.35446581291205</c:v>
                </c:pt>
                <c:pt idx="158">
                  <c:v>417.17915520930654</c:v>
                </c:pt>
                <c:pt idx="159">
                  <c:v>418.97781213693844</c:v>
                </c:pt>
                <c:pt idx="160">
                  <c:v>421.42955822214168</c:v>
                </c:pt>
                <c:pt idx="161">
                  <c:v>423.249078208507</c:v>
                </c:pt>
                <c:pt idx="162">
                  <c:v>425.04256605834883</c:v>
                </c:pt>
                <c:pt idx="163">
                  <c:v>426.17960203561455</c:v>
                </c:pt>
                <c:pt idx="164">
                  <c:v>427.31357177975258</c:v>
                </c:pt>
                <c:pt idx="165">
                  <c:v>428.44626093021134</c:v>
                </c:pt>
                <c:pt idx="166">
                  <c:v>430.17950544657702</c:v>
                </c:pt>
                <c:pt idx="167">
                  <c:v>430.67807094422807</c:v>
                </c:pt>
                <c:pt idx="168">
                  <c:v>432.43167969022386</c:v>
                </c:pt>
                <c:pt idx="169">
                  <c:v>434.12771989636178</c:v>
                </c:pt>
                <c:pt idx="170">
                  <c:v>435.76518914664035</c:v>
                </c:pt>
                <c:pt idx="171">
                  <c:v>437.50770545762401</c:v>
                </c:pt>
                <c:pt idx="172">
                  <c:v>437.99406927676165</c:v>
                </c:pt>
                <c:pt idx="173">
                  <c:v>438.56466367179172</c:v>
                </c:pt>
                <c:pt idx="174">
                  <c:v>437.79599253234903</c:v>
                </c:pt>
                <c:pt idx="175">
                  <c:v>437.02746046108001</c:v>
                </c:pt>
                <c:pt idx="176">
                  <c:v>436.94128543421874</c:v>
                </c:pt>
                <c:pt idx="177">
                  <c:v>435.45904226466001</c:v>
                </c:pt>
                <c:pt idx="178">
                  <c:v>434.62846740450368</c:v>
                </c:pt>
                <c:pt idx="179">
                  <c:v>434.48099234414843</c:v>
                </c:pt>
                <c:pt idx="180">
                  <c:v>433.02370320731643</c:v>
                </c:pt>
                <c:pt idx="181">
                  <c:v>432.15828880280594</c:v>
                </c:pt>
                <c:pt idx="182">
                  <c:v>432.00666453000576</c:v>
                </c:pt>
                <c:pt idx="183">
                  <c:v>430.51448887348749</c:v>
                </c:pt>
                <c:pt idx="184">
                  <c:v>429.67483028055466</c:v>
                </c:pt>
                <c:pt idx="185">
                  <c:v>428.83253607752437</c:v>
                </c:pt>
                <c:pt idx="186">
                  <c:v>427.30331744620719</c:v>
                </c:pt>
                <c:pt idx="187">
                  <c:v>426.48992390434199</c:v>
                </c:pt>
                <c:pt idx="188">
                  <c:v>424.92324446092795</c:v>
                </c:pt>
                <c:pt idx="189">
                  <c:v>424.10655553436357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C7-4F7F-8744-068A57298B81}"/>
            </c:ext>
          </c:extLst>
        </c:ser>
        <c:ser>
          <c:idx val="5"/>
          <c:order val="4"/>
          <c:tx>
            <c:v>V Gear</c:v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'Excess Power'!$V$12:$V$201</c:f>
              <c:numCache>
                <c:formatCode>0.00</c:formatCode>
                <c:ptCount val="190"/>
                <c:pt idx="0">
                  <c:v>16.486254133421042</c:v>
                </c:pt>
                <c:pt idx="1">
                  <c:v>16.669507977846912</c:v>
                </c:pt>
                <c:pt idx="2">
                  <c:v>17.036015666698656</c:v>
                </c:pt>
                <c:pt idx="3">
                  <c:v>17.310896433337465</c:v>
                </c:pt>
                <c:pt idx="4">
                  <c:v>17.677404122189213</c:v>
                </c:pt>
                <c:pt idx="5">
                  <c:v>17.952284888828011</c:v>
                </c:pt>
                <c:pt idx="6">
                  <c:v>18.22716565546682</c:v>
                </c:pt>
                <c:pt idx="7">
                  <c:v>18.593673344318564</c:v>
                </c:pt>
                <c:pt idx="8">
                  <c:v>18.960181033170308</c:v>
                </c:pt>
                <c:pt idx="9">
                  <c:v>19.235061799809117</c:v>
                </c:pt>
                <c:pt idx="10">
                  <c:v>19.509942566447926</c:v>
                </c:pt>
                <c:pt idx="11">
                  <c:v>19.876450255299666</c:v>
                </c:pt>
                <c:pt idx="12">
                  <c:v>20.151331021938471</c:v>
                </c:pt>
                <c:pt idx="13">
                  <c:v>20.42621178857728</c:v>
                </c:pt>
                <c:pt idx="14">
                  <c:v>20.792719477429024</c:v>
                </c:pt>
                <c:pt idx="15">
                  <c:v>21.067600244067837</c:v>
                </c:pt>
                <c:pt idx="16">
                  <c:v>21.525734855132516</c:v>
                </c:pt>
                <c:pt idx="17">
                  <c:v>21.983869466197191</c:v>
                </c:pt>
                <c:pt idx="18">
                  <c:v>22.442004077261871</c:v>
                </c:pt>
                <c:pt idx="19">
                  <c:v>22.808346969490927</c:v>
                </c:pt>
                <c:pt idx="20">
                  <c:v>23.174854658342671</c:v>
                </c:pt>
                <c:pt idx="21">
                  <c:v>23.44973542498148</c:v>
                </c:pt>
                <c:pt idx="22">
                  <c:v>23.816243113833224</c:v>
                </c:pt>
                <c:pt idx="23">
                  <c:v>24.091123880472029</c:v>
                </c:pt>
                <c:pt idx="24">
                  <c:v>24.457631569323773</c:v>
                </c:pt>
                <c:pt idx="25">
                  <c:v>24.732512335962582</c:v>
                </c:pt>
                <c:pt idx="26">
                  <c:v>24.915766180388452</c:v>
                </c:pt>
                <c:pt idx="27">
                  <c:v>25.2822738692402</c:v>
                </c:pt>
                <c:pt idx="28">
                  <c:v>25.557154635879002</c:v>
                </c:pt>
                <c:pt idx="29">
                  <c:v>25.83203540251781</c:v>
                </c:pt>
                <c:pt idx="30">
                  <c:v>26.106916169156619</c:v>
                </c:pt>
                <c:pt idx="31">
                  <c:v>26.473423858008363</c:v>
                </c:pt>
                <c:pt idx="32">
                  <c:v>26.748304624647169</c:v>
                </c:pt>
                <c:pt idx="33">
                  <c:v>27.023185391285974</c:v>
                </c:pt>
                <c:pt idx="34">
                  <c:v>27.481320002350657</c:v>
                </c:pt>
                <c:pt idx="35">
                  <c:v>27.939454613415336</c:v>
                </c:pt>
                <c:pt idx="36">
                  <c:v>28.30596230226708</c:v>
                </c:pt>
                <c:pt idx="37">
                  <c:v>28.67246999111882</c:v>
                </c:pt>
                <c:pt idx="38">
                  <c:v>29.038977679970561</c:v>
                </c:pt>
                <c:pt idx="39">
                  <c:v>29.31385844660937</c:v>
                </c:pt>
                <c:pt idx="40">
                  <c:v>29.588739213248179</c:v>
                </c:pt>
                <c:pt idx="41">
                  <c:v>29.771993057674045</c:v>
                </c:pt>
                <c:pt idx="42">
                  <c:v>29.955246902099923</c:v>
                </c:pt>
                <c:pt idx="43">
                  <c:v>30.138500746525793</c:v>
                </c:pt>
                <c:pt idx="44">
                  <c:v>30.413381513164598</c:v>
                </c:pt>
                <c:pt idx="45">
                  <c:v>30.505008435377537</c:v>
                </c:pt>
                <c:pt idx="46">
                  <c:v>30.779889202016346</c:v>
                </c:pt>
                <c:pt idx="47">
                  <c:v>31.146396890868083</c:v>
                </c:pt>
                <c:pt idx="48">
                  <c:v>31.421277657506892</c:v>
                </c:pt>
                <c:pt idx="49">
                  <c:v>31.6961584241457</c:v>
                </c:pt>
                <c:pt idx="50">
                  <c:v>32.062666112997448</c:v>
                </c:pt>
                <c:pt idx="51">
                  <c:v>32.245919957423311</c:v>
                </c:pt>
                <c:pt idx="52">
                  <c:v>32.52080072406212</c:v>
                </c:pt>
                <c:pt idx="53">
                  <c:v>32.704054568487997</c:v>
                </c:pt>
                <c:pt idx="54">
                  <c:v>32.978935335126806</c:v>
                </c:pt>
                <c:pt idx="55">
                  <c:v>33.253816101765615</c:v>
                </c:pt>
                <c:pt idx="56">
                  <c:v>33.528696868404417</c:v>
                </c:pt>
                <c:pt idx="57">
                  <c:v>33.803577635043226</c:v>
                </c:pt>
                <c:pt idx="58">
                  <c:v>34.078458401682035</c:v>
                </c:pt>
                <c:pt idx="59">
                  <c:v>34.353339168320844</c:v>
                </c:pt>
                <c:pt idx="60">
                  <c:v>34.719846857172584</c:v>
                </c:pt>
                <c:pt idx="61">
                  <c:v>34.9947276238114</c:v>
                </c:pt>
                <c:pt idx="62">
                  <c:v>35.361235312663133</c:v>
                </c:pt>
                <c:pt idx="63">
                  <c:v>35.727743001514881</c:v>
                </c:pt>
                <c:pt idx="64">
                  <c:v>36.18587761257956</c:v>
                </c:pt>
                <c:pt idx="65">
                  <c:v>36.369131457005423</c:v>
                </c:pt>
                <c:pt idx="66">
                  <c:v>36.644012223644232</c:v>
                </c:pt>
                <c:pt idx="67">
                  <c:v>36.918892990283041</c:v>
                </c:pt>
                <c:pt idx="68">
                  <c:v>37.285400679134796</c:v>
                </c:pt>
                <c:pt idx="69">
                  <c:v>37.743535290199461</c:v>
                </c:pt>
                <c:pt idx="70">
                  <c:v>38.110042979051215</c:v>
                </c:pt>
                <c:pt idx="71">
                  <c:v>38.659804512328826</c:v>
                </c:pt>
                <c:pt idx="72">
                  <c:v>39.026312201180566</c:v>
                </c:pt>
                <c:pt idx="73">
                  <c:v>39.392819890032307</c:v>
                </c:pt>
                <c:pt idx="74">
                  <c:v>39.667700656671116</c:v>
                </c:pt>
                <c:pt idx="75">
                  <c:v>39.942581423309925</c:v>
                </c:pt>
                <c:pt idx="76">
                  <c:v>40.309089112161672</c:v>
                </c:pt>
                <c:pt idx="77">
                  <c:v>40.858850645439283</c:v>
                </c:pt>
                <c:pt idx="78">
                  <c:v>41.500239100929839</c:v>
                </c:pt>
                <c:pt idx="79">
                  <c:v>42.05000063420745</c:v>
                </c:pt>
                <c:pt idx="80">
                  <c:v>42.691389089697999</c:v>
                </c:pt>
                <c:pt idx="81">
                  <c:v>43.24115062297561</c:v>
                </c:pt>
                <c:pt idx="82">
                  <c:v>43.882539078466166</c:v>
                </c:pt>
                <c:pt idx="83">
                  <c:v>44.523927533956716</c:v>
                </c:pt>
                <c:pt idx="84">
                  <c:v>45.348569833873142</c:v>
                </c:pt>
                <c:pt idx="85">
                  <c:v>46.081585211576623</c:v>
                </c:pt>
                <c:pt idx="86">
                  <c:v>46.72297366706718</c:v>
                </c:pt>
                <c:pt idx="87">
                  <c:v>47.27273520034479</c:v>
                </c:pt>
                <c:pt idx="88">
                  <c:v>47.639242889196531</c:v>
                </c:pt>
                <c:pt idx="89">
                  <c:v>48.189004422474149</c:v>
                </c:pt>
                <c:pt idx="90">
                  <c:v>48.830392877964698</c:v>
                </c:pt>
                <c:pt idx="91">
                  <c:v>49.655035177881125</c:v>
                </c:pt>
                <c:pt idx="92">
                  <c:v>50.113169788945797</c:v>
                </c:pt>
                <c:pt idx="93">
                  <c:v>50.846185166649292</c:v>
                </c:pt>
                <c:pt idx="94">
                  <c:v>51.579035747730089</c:v>
                </c:pt>
                <c:pt idx="95">
                  <c:v>52.220424203220645</c:v>
                </c:pt>
                <c:pt idx="96">
                  <c:v>52.861812658711187</c:v>
                </c:pt>
                <c:pt idx="97">
                  <c:v>53.594828036414675</c:v>
                </c:pt>
                <c:pt idx="98">
                  <c:v>54.327843414118156</c:v>
                </c:pt>
                <c:pt idx="99">
                  <c:v>55.152485714034583</c:v>
                </c:pt>
                <c:pt idx="100">
                  <c:v>55.885501091738071</c:v>
                </c:pt>
                <c:pt idx="101">
                  <c:v>56.52688954722862</c:v>
                </c:pt>
                <c:pt idx="102">
                  <c:v>57.35153184714504</c:v>
                </c:pt>
                <c:pt idx="103">
                  <c:v>57.901293380422665</c:v>
                </c:pt>
                <c:pt idx="104">
                  <c:v>58.634308758126153</c:v>
                </c:pt>
                <c:pt idx="105">
                  <c:v>59.275697213616702</c:v>
                </c:pt>
                <c:pt idx="106">
                  <c:v>60.00871259132019</c:v>
                </c:pt>
                <c:pt idx="107">
                  <c:v>60.65010104681074</c:v>
                </c:pt>
                <c:pt idx="108">
                  <c:v>61.108235657875412</c:v>
                </c:pt>
                <c:pt idx="109">
                  <c:v>61.383116424514228</c:v>
                </c:pt>
                <c:pt idx="110">
                  <c:v>61.8412510355789</c:v>
                </c:pt>
                <c:pt idx="111">
                  <c:v>62.482639491069449</c:v>
                </c:pt>
                <c:pt idx="112">
                  <c:v>62.849147179921196</c:v>
                </c:pt>
                <c:pt idx="113">
                  <c:v>63.398908713198814</c:v>
                </c:pt>
                <c:pt idx="114">
                  <c:v>64.131924090902288</c:v>
                </c:pt>
                <c:pt idx="115">
                  <c:v>64.956566390818708</c:v>
                </c:pt>
                <c:pt idx="116">
                  <c:v>65.597954846309278</c:v>
                </c:pt>
                <c:pt idx="117">
                  <c:v>66.422597146225698</c:v>
                </c:pt>
                <c:pt idx="118">
                  <c:v>67.06398560171624</c:v>
                </c:pt>
                <c:pt idx="119">
                  <c:v>67.705374057206782</c:v>
                </c:pt>
                <c:pt idx="120">
                  <c:v>68.346762512697353</c:v>
                </c:pt>
                <c:pt idx="121">
                  <c:v>69.171404812613773</c:v>
                </c:pt>
                <c:pt idx="122">
                  <c:v>70.087674034743131</c:v>
                </c:pt>
                <c:pt idx="123">
                  <c:v>70.729062490233673</c:v>
                </c:pt>
                <c:pt idx="124">
                  <c:v>71.37045094572423</c:v>
                </c:pt>
                <c:pt idx="125">
                  <c:v>72.10346632342771</c:v>
                </c:pt>
                <c:pt idx="126">
                  <c:v>72.92810862334413</c:v>
                </c:pt>
                <c:pt idx="127">
                  <c:v>73.477870156621748</c:v>
                </c:pt>
                <c:pt idx="128">
                  <c:v>74.210885534325243</c:v>
                </c:pt>
                <c:pt idx="129">
                  <c:v>74.852273989815799</c:v>
                </c:pt>
                <c:pt idx="130">
                  <c:v>75.402035523093403</c:v>
                </c:pt>
                <c:pt idx="131">
                  <c:v>75.951797056371007</c:v>
                </c:pt>
                <c:pt idx="132">
                  <c:v>76.501558589648624</c:v>
                </c:pt>
                <c:pt idx="133">
                  <c:v>77.142947045139195</c:v>
                </c:pt>
                <c:pt idx="134">
                  <c:v>77.60108165620386</c:v>
                </c:pt>
                <c:pt idx="135">
                  <c:v>78.334097033907355</c:v>
                </c:pt>
                <c:pt idx="136">
                  <c:v>78.792231644972034</c:v>
                </c:pt>
                <c:pt idx="137">
                  <c:v>79.433620100462591</c:v>
                </c:pt>
                <c:pt idx="138">
                  <c:v>80.166635478166071</c:v>
                </c:pt>
                <c:pt idx="139">
                  <c:v>80.624605292608052</c:v>
                </c:pt>
                <c:pt idx="140">
                  <c:v>81.265993748098609</c:v>
                </c:pt>
                <c:pt idx="141">
                  <c:v>81.999009125802104</c:v>
                </c:pt>
                <c:pt idx="142">
                  <c:v>82.640397581292646</c:v>
                </c:pt>
                <c:pt idx="143">
                  <c:v>83.281786036783203</c:v>
                </c:pt>
                <c:pt idx="144">
                  <c:v>83.923174492273745</c:v>
                </c:pt>
                <c:pt idx="145">
                  <c:v>84.564562947764287</c:v>
                </c:pt>
                <c:pt idx="146">
                  <c:v>85.114324481041919</c:v>
                </c:pt>
                <c:pt idx="147">
                  <c:v>85.8473398587454</c:v>
                </c:pt>
                <c:pt idx="148">
                  <c:v>86.580355236448895</c:v>
                </c:pt>
                <c:pt idx="149">
                  <c:v>87.221743691939437</c:v>
                </c:pt>
                <c:pt idx="150">
                  <c:v>87.86313214742998</c:v>
                </c:pt>
                <c:pt idx="151">
                  <c:v>88.596147525133489</c:v>
                </c:pt>
                <c:pt idx="152">
                  <c:v>89.32916290283697</c:v>
                </c:pt>
                <c:pt idx="153">
                  <c:v>90.062178280540451</c:v>
                </c:pt>
                <c:pt idx="154">
                  <c:v>90.88682058045687</c:v>
                </c:pt>
                <c:pt idx="155">
                  <c:v>91.619835958160351</c:v>
                </c:pt>
                <c:pt idx="156">
                  <c:v>92.261224413650908</c:v>
                </c:pt>
                <c:pt idx="157">
                  <c:v>93.085866713567327</c:v>
                </c:pt>
                <c:pt idx="158">
                  <c:v>93.635628246844945</c:v>
                </c:pt>
                <c:pt idx="159">
                  <c:v>94.277016702335516</c:v>
                </c:pt>
                <c:pt idx="160">
                  <c:v>94.918405157826044</c:v>
                </c:pt>
                <c:pt idx="161">
                  <c:v>95.468166691103676</c:v>
                </c:pt>
                <c:pt idx="162">
                  <c:v>96.109555146594218</c:v>
                </c:pt>
                <c:pt idx="163">
                  <c:v>96.750943602084774</c:v>
                </c:pt>
                <c:pt idx="164">
                  <c:v>97.392332057575331</c:v>
                </c:pt>
                <c:pt idx="165">
                  <c:v>98.033720513065873</c:v>
                </c:pt>
                <c:pt idx="166">
                  <c:v>98.858362812982293</c:v>
                </c:pt>
                <c:pt idx="167">
                  <c:v>99.408124346259896</c:v>
                </c:pt>
                <c:pt idx="168">
                  <c:v>100.14113972396339</c:v>
                </c:pt>
                <c:pt idx="169">
                  <c:v>101.05740894609274</c:v>
                </c:pt>
                <c:pt idx="170">
                  <c:v>102.15693201264799</c:v>
                </c:pt>
                <c:pt idx="171">
                  <c:v>102.88994739035147</c:v>
                </c:pt>
                <c:pt idx="172">
                  <c:v>103.43970892362908</c:v>
                </c:pt>
                <c:pt idx="173">
                  <c:v>103.71458969026789</c:v>
                </c:pt>
                <c:pt idx="174">
                  <c:v>104.08109737911963</c:v>
                </c:pt>
                <c:pt idx="175">
                  <c:v>104.44760506797138</c:v>
                </c:pt>
                <c:pt idx="176">
                  <c:v>104.72248583461018</c:v>
                </c:pt>
                <c:pt idx="177">
                  <c:v>105.27224736788781</c:v>
                </c:pt>
                <c:pt idx="178">
                  <c:v>105.82200890116542</c:v>
                </c:pt>
                <c:pt idx="179">
                  <c:v>106.28014351223008</c:v>
                </c:pt>
                <c:pt idx="180">
                  <c:v>106.73827812329478</c:v>
                </c:pt>
                <c:pt idx="181">
                  <c:v>107.37966657878532</c:v>
                </c:pt>
                <c:pt idx="182">
                  <c:v>107.83780118985</c:v>
                </c:pt>
                <c:pt idx="183">
                  <c:v>108.38756272312762</c:v>
                </c:pt>
                <c:pt idx="184">
                  <c:v>108.93732425640522</c:v>
                </c:pt>
                <c:pt idx="185">
                  <c:v>109.48692099306017</c:v>
                </c:pt>
                <c:pt idx="186">
                  <c:v>110.12830944855071</c:v>
                </c:pt>
                <c:pt idx="187">
                  <c:v>110.58644405961539</c:v>
                </c:pt>
                <c:pt idx="188">
                  <c:v>111.31945943731888</c:v>
                </c:pt>
                <c:pt idx="189">
                  <c:v>111.77759404838356</c:v>
                </c:pt>
              </c:numCache>
            </c:numRef>
          </c:xVal>
          <c:yVal>
            <c:numRef>
              <c:f>'Excess Power'!$X$12:$X$201</c:f>
              <c:numCache>
                <c:formatCode>0.00</c:formatCode>
                <c:ptCount val="190"/>
                <c:pt idx="0">
                  <c:v>36.274408509449884</c:v>
                </c:pt>
                <c:pt idx="1">
                  <c:v>37.577676766264993</c:v>
                </c:pt>
                <c:pt idx="2">
                  <c:v>39.529577907006633</c:v>
                </c:pt>
                <c:pt idx="3">
                  <c:v>40.829790577629211</c:v>
                </c:pt>
                <c:pt idx="4">
                  <c:v>42.781319585182182</c:v>
                </c:pt>
                <c:pt idx="5">
                  <c:v>44.081157944048854</c:v>
                </c:pt>
                <c:pt idx="6">
                  <c:v>45.38096126408275</c:v>
                </c:pt>
                <c:pt idx="7">
                  <c:v>47.331934543490043</c:v>
                </c:pt>
                <c:pt idx="8">
                  <c:v>49.282677589750456</c:v>
                </c:pt>
                <c:pt idx="9">
                  <c:v>50.582006053918917</c:v>
                </c:pt>
                <c:pt idx="10">
                  <c:v>51.881110544629934</c:v>
                </c:pt>
                <c:pt idx="11">
                  <c:v>53.831258153301633</c:v>
                </c:pt>
                <c:pt idx="12">
                  <c:v>55.784702593758006</c:v>
                </c:pt>
                <c:pt idx="13">
                  <c:v>57.083346678882144</c:v>
                </c:pt>
                <c:pt idx="14">
                  <c:v>58.378300486077272</c:v>
                </c:pt>
                <c:pt idx="15">
                  <c:v>60.331269629905634</c:v>
                </c:pt>
                <c:pt idx="16">
                  <c:v>62.276661174807757</c:v>
                </c:pt>
                <c:pt idx="17">
                  <c:v>64.87620625264212</c:v>
                </c:pt>
                <c:pt idx="18">
                  <c:v>66.820755999693759</c:v>
                </c:pt>
                <c:pt idx="19">
                  <c:v>68.768814666059228</c:v>
                </c:pt>
                <c:pt idx="20">
                  <c:v>70.062103974428425</c:v>
                </c:pt>
                <c:pt idx="21">
                  <c:v>72.013647887122985</c:v>
                </c:pt>
                <c:pt idx="22">
                  <c:v>73.960912039240327</c:v>
                </c:pt>
                <c:pt idx="23">
                  <c:v>75.912071872881612</c:v>
                </c:pt>
                <c:pt idx="24">
                  <c:v>77.858816970442049</c:v>
                </c:pt>
                <c:pt idx="25">
                  <c:v>79.809582301301262</c:v>
                </c:pt>
                <c:pt idx="26">
                  <c:v>81.764626938080099</c:v>
                </c:pt>
                <c:pt idx="27">
                  <c:v>84.365254257782411</c:v>
                </c:pt>
                <c:pt idx="28">
                  <c:v>86.31549705427949</c:v>
                </c:pt>
                <c:pt idx="29">
                  <c:v>88.920131843530996</c:v>
                </c:pt>
                <c:pt idx="30">
                  <c:v>90.869836710974511</c:v>
                </c:pt>
                <c:pt idx="31">
                  <c:v>93.469340013410928</c:v>
                </c:pt>
                <c:pt idx="32">
                  <c:v>96.073277617781869</c:v>
                </c:pt>
                <c:pt idx="33">
                  <c:v>98.022728918470037</c:v>
                </c:pt>
                <c:pt idx="34">
                  <c:v>101.2716952113869</c:v>
                </c:pt>
                <c:pt idx="35">
                  <c:v>104.51922981212991</c:v>
                </c:pt>
                <c:pt idx="36">
                  <c:v>107.77134871794267</c:v>
                </c:pt>
                <c:pt idx="37">
                  <c:v>110.36881712976452</c:v>
                </c:pt>
                <c:pt idx="38">
                  <c:v>112.96593050937341</c:v>
                </c:pt>
                <c:pt idx="39">
                  <c:v>115.5689548241661</c:v>
                </c:pt>
                <c:pt idx="40">
                  <c:v>117.51567496602662</c:v>
                </c:pt>
                <c:pt idx="41">
                  <c:v>119.46857401906399</c:v>
                </c:pt>
                <c:pt idx="42">
                  <c:v>120.76708091038155</c:v>
                </c:pt>
                <c:pt idx="43">
                  <c:v>122.06459507270159</c:v>
                </c:pt>
                <c:pt idx="44">
                  <c:v>123.35729120839112</c:v>
                </c:pt>
                <c:pt idx="45">
                  <c:v>125.31544294123796</c:v>
                </c:pt>
                <c:pt idx="46">
                  <c:v>127.26125620989333</c:v>
                </c:pt>
                <c:pt idx="47">
                  <c:v>129.85714008440578</c:v>
                </c:pt>
                <c:pt idx="48">
                  <c:v>131.80245014567879</c:v>
                </c:pt>
                <c:pt idx="49">
                  <c:v>133.74844135570774</c:v>
                </c:pt>
                <c:pt idx="50">
                  <c:v>136.99765255802407</c:v>
                </c:pt>
                <c:pt idx="51">
                  <c:v>138.29405956378346</c:v>
                </c:pt>
                <c:pt idx="52">
                  <c:v>140.23938273270545</c:v>
                </c:pt>
                <c:pt idx="53">
                  <c:v>141.53553912489525</c:v>
                </c:pt>
                <c:pt idx="54">
                  <c:v>142.82618371434836</c:v>
                </c:pt>
                <c:pt idx="55">
                  <c:v>144.77089860337023</c:v>
                </c:pt>
                <c:pt idx="56">
                  <c:v>146.71538187739847</c:v>
                </c:pt>
                <c:pt idx="57">
                  <c:v>148.00443162187062</c:v>
                </c:pt>
                <c:pt idx="58">
                  <c:v>149.94844592222421</c:v>
                </c:pt>
                <c:pt idx="59">
                  <c:v>151.23792286389684</c:v>
                </c:pt>
                <c:pt idx="60">
                  <c:v>153.82895291905862</c:v>
                </c:pt>
                <c:pt idx="61">
                  <c:v>155.77126857828844</c:v>
                </c:pt>
                <c:pt idx="62">
                  <c:v>157.70724330770733</c:v>
                </c:pt>
                <c:pt idx="63">
                  <c:v>160.29708018236059</c:v>
                </c:pt>
                <c:pt idx="64">
                  <c:v>162.22492862871539</c:v>
                </c:pt>
                <c:pt idx="65">
                  <c:v>164.17415247485309</c:v>
                </c:pt>
                <c:pt idx="66">
                  <c:v>166.11587697231207</c:v>
                </c:pt>
                <c:pt idx="67">
                  <c:v>167.40214624184074</c:v>
                </c:pt>
                <c:pt idx="68">
                  <c:v>169.33577160420046</c:v>
                </c:pt>
                <c:pt idx="69">
                  <c:v>172.57070353722054</c:v>
                </c:pt>
                <c:pt idx="70">
                  <c:v>175.15758373673478</c:v>
                </c:pt>
                <c:pt idx="71">
                  <c:v>177.7279678213786</c:v>
                </c:pt>
                <c:pt idx="72">
                  <c:v>180.31365978314892</c:v>
                </c:pt>
                <c:pt idx="73">
                  <c:v>182.24456850793311</c:v>
                </c:pt>
                <c:pt idx="74">
                  <c:v>184.18248019722481</c:v>
                </c:pt>
                <c:pt idx="75">
                  <c:v>186.12101559839945</c:v>
                </c:pt>
                <c:pt idx="76">
                  <c:v>188.05069637599661</c:v>
                </c:pt>
                <c:pt idx="77">
                  <c:v>190.61668027276662</c:v>
                </c:pt>
                <c:pt idx="78">
                  <c:v>193.17253834384312</c:v>
                </c:pt>
                <c:pt idx="79">
                  <c:v>196.39123648278925</c:v>
                </c:pt>
                <c:pt idx="80">
                  <c:v>198.94415255997203</c:v>
                </c:pt>
                <c:pt idx="81">
                  <c:v>201.50509303863851</c:v>
                </c:pt>
                <c:pt idx="82">
                  <c:v>204.70928323572926</c:v>
                </c:pt>
                <c:pt idx="83">
                  <c:v>207.91270936700772</c:v>
                </c:pt>
                <c:pt idx="84">
                  <c:v>211.09278723570083</c:v>
                </c:pt>
                <c:pt idx="85">
                  <c:v>214.28073826067447</c:v>
                </c:pt>
                <c:pt idx="86">
                  <c:v>217.47827437454373</c:v>
                </c:pt>
                <c:pt idx="87">
                  <c:v>220.03002463214818</c:v>
                </c:pt>
                <c:pt idx="88">
                  <c:v>221.94886073228588</c:v>
                </c:pt>
                <c:pt idx="89">
                  <c:v>224.49840742953938</c:v>
                </c:pt>
                <c:pt idx="90">
                  <c:v>227.03483065646699</c:v>
                </c:pt>
                <c:pt idx="91">
                  <c:v>230.19949340393185</c:v>
                </c:pt>
                <c:pt idx="92">
                  <c:v>233.41069770949667</c:v>
                </c:pt>
                <c:pt idx="93">
                  <c:v>236.58406422693355</c:v>
                </c:pt>
                <c:pt idx="94">
                  <c:v>239.75403568476929</c:v>
                </c:pt>
                <c:pt idx="95">
                  <c:v>242.9355964133353</c:v>
                </c:pt>
                <c:pt idx="96">
                  <c:v>245.45997689589819</c:v>
                </c:pt>
                <c:pt idx="97">
                  <c:v>249.27711288466912</c:v>
                </c:pt>
                <c:pt idx="98">
                  <c:v>252.43819435635001</c:v>
                </c:pt>
                <c:pt idx="99">
                  <c:v>256.23543032958537</c:v>
                </c:pt>
                <c:pt idx="100">
                  <c:v>260.0450504059263</c:v>
                </c:pt>
                <c:pt idx="101">
                  <c:v>262.55764861108713</c:v>
                </c:pt>
                <c:pt idx="102">
                  <c:v>266.34645033490671</c:v>
                </c:pt>
                <c:pt idx="103">
                  <c:v>268.87002405596212</c:v>
                </c:pt>
                <c:pt idx="104">
                  <c:v>272.66817703323693</c:v>
                </c:pt>
                <c:pt idx="105">
                  <c:v>275.1714173439064</c:v>
                </c:pt>
                <c:pt idx="106">
                  <c:v>278.96499531540496</c:v>
                </c:pt>
                <c:pt idx="107">
                  <c:v>282.11768915461607</c:v>
                </c:pt>
                <c:pt idx="108">
                  <c:v>283.99457806590834</c:v>
                </c:pt>
                <c:pt idx="109">
                  <c:v>285.25136448284303</c:v>
                </c:pt>
                <c:pt idx="110">
                  <c:v>287.78065748249026</c:v>
                </c:pt>
                <c:pt idx="111">
                  <c:v>290.27241563094339</c:v>
                </c:pt>
                <c:pt idx="112">
                  <c:v>292.16295803562468</c:v>
                </c:pt>
                <c:pt idx="113">
                  <c:v>294.66971106311541</c:v>
                </c:pt>
                <c:pt idx="114">
                  <c:v>298.44609819231266</c:v>
                </c:pt>
                <c:pt idx="115">
                  <c:v>302.1988850987434</c:v>
                </c:pt>
                <c:pt idx="116">
                  <c:v>304.67890690704945</c:v>
                </c:pt>
                <c:pt idx="117">
                  <c:v>308.4253192475739</c:v>
                </c:pt>
                <c:pt idx="118">
                  <c:v>310.8996195250661</c:v>
                </c:pt>
                <c:pt idx="119">
                  <c:v>314.68087667520024</c:v>
                </c:pt>
                <c:pt idx="120">
                  <c:v>316.49486637594248</c:v>
                </c:pt>
                <c:pt idx="121">
                  <c:v>320.88149855603308</c:v>
                </c:pt>
                <c:pt idx="122">
                  <c:v>324.58704657543615</c:v>
                </c:pt>
                <c:pt idx="123">
                  <c:v>327.70078709369159</c:v>
                </c:pt>
                <c:pt idx="124">
                  <c:v>330.81274550153819</c:v>
                </c:pt>
                <c:pt idx="125">
                  <c:v>333.89743969340213</c:v>
                </c:pt>
                <c:pt idx="126">
                  <c:v>337.60960010569352</c:v>
                </c:pt>
                <c:pt idx="127">
                  <c:v>340.08153715970764</c:v>
                </c:pt>
                <c:pt idx="128">
                  <c:v>343.81016618706263</c:v>
                </c:pt>
                <c:pt idx="129">
                  <c:v>346.25284017230393</c:v>
                </c:pt>
                <c:pt idx="130">
                  <c:v>349.37184532255594</c:v>
                </c:pt>
                <c:pt idx="131">
                  <c:v>351.8344497524663</c:v>
                </c:pt>
                <c:pt idx="132">
                  <c:v>354.2949381455357</c:v>
                </c:pt>
                <c:pt idx="133">
                  <c:v>356.72646306818058</c:v>
                </c:pt>
                <c:pt idx="134">
                  <c:v>359.86470555515365</c:v>
                </c:pt>
                <c:pt idx="135">
                  <c:v>362.26358697784821</c:v>
                </c:pt>
                <c:pt idx="136">
                  <c:v>364.74270744184815</c:v>
                </c:pt>
                <c:pt idx="137">
                  <c:v>367.81797307187287</c:v>
                </c:pt>
                <c:pt idx="138">
                  <c:v>370.20708682862039</c:v>
                </c:pt>
                <c:pt idx="139">
                  <c:v>372.02580889519373</c:v>
                </c:pt>
                <c:pt idx="140">
                  <c:v>373.78380451418025</c:v>
                </c:pt>
                <c:pt idx="141">
                  <c:v>376.16292460287252</c:v>
                </c:pt>
                <c:pt idx="142">
                  <c:v>377.91428683885545</c:v>
                </c:pt>
                <c:pt idx="143">
                  <c:v>379.66251527576435</c:v>
                </c:pt>
                <c:pt idx="144">
                  <c:v>382.06188559156556</c:v>
                </c:pt>
                <c:pt idx="145">
                  <c:v>383.80287346422523</c:v>
                </c:pt>
                <c:pt idx="146">
                  <c:v>385.57391166788534</c:v>
                </c:pt>
                <c:pt idx="147">
                  <c:v>387.93130459198403</c:v>
                </c:pt>
                <c:pt idx="148">
                  <c:v>389.63014555298946</c:v>
                </c:pt>
                <c:pt idx="149">
                  <c:v>391.35858991423225</c:v>
                </c:pt>
                <c:pt idx="150">
                  <c:v>393.73802674758787</c:v>
                </c:pt>
                <c:pt idx="151">
                  <c:v>396.07928760842714</c:v>
                </c:pt>
                <c:pt idx="152">
                  <c:v>397.7618603595115</c:v>
                </c:pt>
                <c:pt idx="153">
                  <c:v>400.09430869506434</c:v>
                </c:pt>
                <c:pt idx="154">
                  <c:v>403.04001680842504</c:v>
                </c:pt>
                <c:pt idx="155">
                  <c:v>405.36384271445002</c:v>
                </c:pt>
                <c:pt idx="156">
                  <c:v>407.71994415076927</c:v>
                </c:pt>
                <c:pt idx="157">
                  <c:v>409.99604460747474</c:v>
                </c:pt>
                <c:pt idx="158">
                  <c:v>411.72860635727892</c:v>
                </c:pt>
                <c:pt idx="159">
                  <c:v>413.41843019990068</c:v>
                </c:pt>
                <c:pt idx="160">
                  <c:v>415.75987897226287</c:v>
                </c:pt>
                <c:pt idx="161">
                  <c:v>417.48368544796193</c:v>
                </c:pt>
                <c:pt idx="162">
                  <c:v>419.16413027628283</c:v>
                </c:pt>
                <c:pt idx="163">
                  <c:v>420.18663054281876</c:v>
                </c:pt>
                <c:pt idx="164">
                  <c:v>421.20456192553593</c:v>
                </c:pt>
                <c:pt idx="165">
                  <c:v>422.21970010240057</c:v>
                </c:pt>
                <c:pt idx="166">
                  <c:v>423.7995690076043</c:v>
                </c:pt>
                <c:pt idx="167">
                  <c:v>424.19447536068549</c:v>
                </c:pt>
                <c:pt idx="168">
                  <c:v>425.80810635003405</c:v>
                </c:pt>
                <c:pt idx="169">
                  <c:v>427.32631593657243</c:v>
                </c:pt>
                <c:pt idx="170">
                  <c:v>428.74615775270541</c:v>
                </c:pt>
                <c:pt idx="171">
                  <c:v>430.34100181888925</c:v>
                </c:pt>
                <c:pt idx="172">
                  <c:v>430.71524255648916</c:v>
                </c:pt>
                <c:pt idx="173">
                  <c:v>431.22933318611183</c:v>
                </c:pt>
                <c:pt idx="174">
                  <c:v>430.38486332756878</c:v>
                </c:pt>
                <c:pt idx="175">
                  <c:v>429.54000470170485</c:v>
                </c:pt>
                <c:pt idx="176">
                  <c:v>429.39623724872843</c:v>
                </c:pt>
                <c:pt idx="177">
                  <c:v>427.79791223142229</c:v>
                </c:pt>
                <c:pt idx="178">
                  <c:v>426.85005430189551</c:v>
                </c:pt>
                <c:pt idx="179">
                  <c:v>426.60392122480113</c:v>
                </c:pt>
                <c:pt idx="180">
                  <c:v>425.04713190293626</c:v>
                </c:pt>
                <c:pt idx="181">
                  <c:v>424.04099548459743</c:v>
                </c:pt>
                <c:pt idx="182">
                  <c:v>423.78783501132602</c:v>
                </c:pt>
                <c:pt idx="183">
                  <c:v>422.17268763994355</c:v>
                </c:pt>
                <c:pt idx="184">
                  <c:v>421.20882056284347</c:v>
                </c:pt>
                <c:pt idx="185">
                  <c:v>420.24111262547461</c:v>
                </c:pt>
                <c:pt idx="186">
                  <c:v>418.56395488148524</c:v>
                </c:pt>
                <c:pt idx="187">
                  <c:v>417.64384393211321</c:v>
                </c:pt>
                <c:pt idx="188">
                  <c:v>415.90459243996668</c:v>
                </c:pt>
                <c:pt idx="189">
                  <c:v>414.97890019676015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AC7-4F7F-8744-068A57298B81}"/>
            </c:ext>
          </c:extLst>
        </c:ser>
        <c:ser>
          <c:idx val="0"/>
          <c:order val="5"/>
          <c:tx>
            <c:v>VI Gear</c:v>
          </c:tx>
          <c:spPr>
            <a:ln w="190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'Excess Power'!$Z$12:$Z$201</c:f>
              <c:numCache>
                <c:formatCode>0.00</c:formatCode>
                <c:ptCount val="190"/>
                <c:pt idx="0">
                  <c:v>48.800348141013629</c:v>
                </c:pt>
                <c:pt idx="1">
                  <c:v>49.342791035184042</c:v>
                </c:pt>
                <c:pt idx="2">
                  <c:v>50.427676823524834</c:v>
                </c:pt>
                <c:pt idx="3">
                  <c:v>51.241341164780451</c:v>
                </c:pt>
                <c:pt idx="4">
                  <c:v>52.326226953121257</c:v>
                </c:pt>
                <c:pt idx="5">
                  <c:v>53.139891294376852</c:v>
                </c:pt>
                <c:pt idx="6">
                  <c:v>53.953555635632455</c:v>
                </c:pt>
                <c:pt idx="7">
                  <c:v>55.038441423973268</c:v>
                </c:pt>
                <c:pt idx="8">
                  <c:v>56.123327212314081</c:v>
                </c:pt>
                <c:pt idx="9">
                  <c:v>56.936991553569683</c:v>
                </c:pt>
                <c:pt idx="10">
                  <c:v>57.750655894825293</c:v>
                </c:pt>
                <c:pt idx="11">
                  <c:v>58.835541683166099</c:v>
                </c:pt>
                <c:pt idx="12">
                  <c:v>59.649206024421694</c:v>
                </c:pt>
                <c:pt idx="13">
                  <c:v>60.462870365677304</c:v>
                </c:pt>
                <c:pt idx="14">
                  <c:v>61.54775615401811</c:v>
                </c:pt>
                <c:pt idx="15">
                  <c:v>62.361420495273734</c:v>
                </c:pt>
                <c:pt idx="16">
                  <c:v>63.717527730699729</c:v>
                </c:pt>
                <c:pt idx="17">
                  <c:v>65.073634966125738</c:v>
                </c:pt>
                <c:pt idx="18">
                  <c:v>66.429742201551747</c:v>
                </c:pt>
                <c:pt idx="19">
                  <c:v>67.514140181534486</c:v>
                </c:pt>
                <c:pt idx="20">
                  <c:v>68.599025969875285</c:v>
                </c:pt>
                <c:pt idx="21">
                  <c:v>69.412690311130902</c:v>
                </c:pt>
                <c:pt idx="22">
                  <c:v>70.497576099471701</c:v>
                </c:pt>
                <c:pt idx="23">
                  <c:v>71.311240440727303</c:v>
                </c:pt>
                <c:pt idx="24">
                  <c:v>72.396126229068116</c:v>
                </c:pt>
                <c:pt idx="25">
                  <c:v>73.209790570323719</c:v>
                </c:pt>
                <c:pt idx="26">
                  <c:v>73.752233464494125</c:v>
                </c:pt>
                <c:pt idx="27">
                  <c:v>74.837119252834938</c:v>
                </c:pt>
                <c:pt idx="28">
                  <c:v>75.650783594090527</c:v>
                </c:pt>
                <c:pt idx="29">
                  <c:v>76.464447935346129</c:v>
                </c:pt>
                <c:pt idx="30">
                  <c:v>77.278112276601746</c:v>
                </c:pt>
                <c:pt idx="31">
                  <c:v>78.362998064942559</c:v>
                </c:pt>
                <c:pt idx="32">
                  <c:v>79.176662406198147</c:v>
                </c:pt>
                <c:pt idx="33">
                  <c:v>79.990326747453764</c:v>
                </c:pt>
                <c:pt idx="34">
                  <c:v>81.346433982879759</c:v>
                </c:pt>
                <c:pt idx="35">
                  <c:v>82.702541218305782</c:v>
                </c:pt>
                <c:pt idx="36">
                  <c:v>83.787427006646595</c:v>
                </c:pt>
                <c:pt idx="37">
                  <c:v>84.87231279498738</c:v>
                </c:pt>
                <c:pt idx="38">
                  <c:v>85.957198583328207</c:v>
                </c:pt>
                <c:pt idx="39">
                  <c:v>86.77086292458381</c:v>
                </c:pt>
                <c:pt idx="40">
                  <c:v>87.584527265839412</c:v>
                </c:pt>
                <c:pt idx="41">
                  <c:v>88.12697016000979</c:v>
                </c:pt>
                <c:pt idx="42">
                  <c:v>88.669413054180225</c:v>
                </c:pt>
                <c:pt idx="43">
                  <c:v>89.211855948350617</c:v>
                </c:pt>
                <c:pt idx="44">
                  <c:v>90.025520289606234</c:v>
                </c:pt>
                <c:pt idx="45">
                  <c:v>90.296741736691416</c:v>
                </c:pt>
                <c:pt idx="46">
                  <c:v>91.110406077947033</c:v>
                </c:pt>
                <c:pt idx="47">
                  <c:v>92.195291866287832</c:v>
                </c:pt>
                <c:pt idx="48">
                  <c:v>93.008956207543449</c:v>
                </c:pt>
                <c:pt idx="49">
                  <c:v>93.822620548799051</c:v>
                </c:pt>
                <c:pt idx="50">
                  <c:v>94.90750633713985</c:v>
                </c:pt>
                <c:pt idx="51">
                  <c:v>95.449949231310256</c:v>
                </c:pt>
                <c:pt idx="52">
                  <c:v>96.263613572565873</c:v>
                </c:pt>
                <c:pt idx="53">
                  <c:v>96.806056466736266</c:v>
                </c:pt>
                <c:pt idx="54">
                  <c:v>97.619720807991882</c:v>
                </c:pt>
                <c:pt idx="55">
                  <c:v>98.433385149247471</c:v>
                </c:pt>
                <c:pt idx="56">
                  <c:v>99.247049490503073</c:v>
                </c:pt>
                <c:pt idx="57">
                  <c:v>100.06071383175869</c:v>
                </c:pt>
                <c:pt idx="58">
                  <c:v>100.87437817301428</c:v>
                </c:pt>
                <c:pt idx="59">
                  <c:v>101.68804251426991</c:v>
                </c:pt>
                <c:pt idx="60">
                  <c:v>102.77292830261069</c:v>
                </c:pt>
                <c:pt idx="61">
                  <c:v>103.58659264386633</c:v>
                </c:pt>
                <c:pt idx="62">
                  <c:v>104.67147843220712</c:v>
                </c:pt>
                <c:pt idx="63">
                  <c:v>105.75636422054791</c:v>
                </c:pt>
                <c:pt idx="64">
                  <c:v>107.11247145597393</c:v>
                </c:pt>
                <c:pt idx="65">
                  <c:v>107.65491435014432</c:v>
                </c:pt>
                <c:pt idx="66">
                  <c:v>108.46857869139996</c:v>
                </c:pt>
                <c:pt idx="67">
                  <c:v>109.28224303265554</c:v>
                </c:pt>
                <c:pt idx="68">
                  <c:v>110.36712882099637</c:v>
                </c:pt>
                <c:pt idx="69">
                  <c:v>111.72323605642235</c:v>
                </c:pt>
                <c:pt idx="70">
                  <c:v>112.80812184476318</c:v>
                </c:pt>
                <c:pt idx="71">
                  <c:v>114.43545052727436</c:v>
                </c:pt>
                <c:pt idx="72">
                  <c:v>115.52033631561518</c:v>
                </c:pt>
                <c:pt idx="73">
                  <c:v>116.60522210395598</c:v>
                </c:pt>
                <c:pt idx="74">
                  <c:v>117.41888644521161</c:v>
                </c:pt>
                <c:pt idx="75">
                  <c:v>118.2325507864672</c:v>
                </c:pt>
                <c:pt idx="76">
                  <c:v>119.31743657480801</c:v>
                </c:pt>
                <c:pt idx="77">
                  <c:v>120.9447652573192</c:v>
                </c:pt>
                <c:pt idx="78">
                  <c:v>122.84331538691563</c:v>
                </c:pt>
                <c:pt idx="79">
                  <c:v>124.47064406942685</c:v>
                </c:pt>
                <c:pt idx="80">
                  <c:v>126.36919419902326</c:v>
                </c:pt>
                <c:pt idx="81">
                  <c:v>127.99652288153445</c:v>
                </c:pt>
                <c:pt idx="82">
                  <c:v>129.89507301113088</c:v>
                </c:pt>
                <c:pt idx="83">
                  <c:v>131.79362314072728</c:v>
                </c:pt>
                <c:pt idx="84">
                  <c:v>134.23461616449413</c:v>
                </c:pt>
                <c:pt idx="85">
                  <c:v>136.4043877411757</c:v>
                </c:pt>
                <c:pt idx="86">
                  <c:v>138.30293787077213</c:v>
                </c:pt>
                <c:pt idx="87">
                  <c:v>139.93026655328333</c:v>
                </c:pt>
                <c:pt idx="88">
                  <c:v>141.01515234162414</c:v>
                </c:pt>
                <c:pt idx="89">
                  <c:v>142.64248102413538</c:v>
                </c:pt>
                <c:pt idx="90">
                  <c:v>144.54103115373178</c:v>
                </c:pt>
                <c:pt idx="91">
                  <c:v>146.9820241774986</c:v>
                </c:pt>
                <c:pt idx="92">
                  <c:v>148.33813141292458</c:v>
                </c:pt>
                <c:pt idx="93">
                  <c:v>150.50790298960621</c:v>
                </c:pt>
                <c:pt idx="94">
                  <c:v>152.67718675792975</c:v>
                </c:pt>
                <c:pt idx="95">
                  <c:v>154.57573688752615</c:v>
                </c:pt>
                <c:pt idx="96">
                  <c:v>156.47428701712255</c:v>
                </c:pt>
                <c:pt idx="97">
                  <c:v>158.6440585938042</c:v>
                </c:pt>
                <c:pt idx="98">
                  <c:v>160.8138301704858</c:v>
                </c:pt>
                <c:pt idx="99">
                  <c:v>163.25482319425262</c:v>
                </c:pt>
                <c:pt idx="100">
                  <c:v>165.42459477093422</c:v>
                </c:pt>
                <c:pt idx="101">
                  <c:v>167.32314490053062</c:v>
                </c:pt>
                <c:pt idx="102">
                  <c:v>169.76413792429747</c:v>
                </c:pt>
                <c:pt idx="103">
                  <c:v>171.39146660680868</c:v>
                </c:pt>
                <c:pt idx="104">
                  <c:v>173.5612381834903</c:v>
                </c:pt>
                <c:pt idx="105">
                  <c:v>175.4597883130867</c:v>
                </c:pt>
                <c:pt idx="106">
                  <c:v>177.6295598897683</c:v>
                </c:pt>
                <c:pt idx="107">
                  <c:v>179.52811001936473</c:v>
                </c:pt>
                <c:pt idx="108">
                  <c:v>180.88421725479071</c:v>
                </c:pt>
                <c:pt idx="109">
                  <c:v>181.69788159604636</c:v>
                </c:pt>
                <c:pt idx="110">
                  <c:v>183.05398883147234</c:v>
                </c:pt>
                <c:pt idx="111">
                  <c:v>184.95253896106877</c:v>
                </c:pt>
                <c:pt idx="112">
                  <c:v>186.03742474940952</c:v>
                </c:pt>
                <c:pt idx="113">
                  <c:v>187.66475343192076</c:v>
                </c:pt>
                <c:pt idx="114">
                  <c:v>189.83452500860236</c:v>
                </c:pt>
                <c:pt idx="115">
                  <c:v>192.27551803236921</c:v>
                </c:pt>
                <c:pt idx="116">
                  <c:v>194.17406816196561</c:v>
                </c:pt>
                <c:pt idx="117">
                  <c:v>196.61506118573243</c:v>
                </c:pt>
                <c:pt idx="118">
                  <c:v>198.51361131532886</c:v>
                </c:pt>
                <c:pt idx="119">
                  <c:v>200.41216144492526</c:v>
                </c:pt>
                <c:pt idx="120">
                  <c:v>202.31071157452169</c:v>
                </c:pt>
                <c:pt idx="121">
                  <c:v>204.75170459828848</c:v>
                </c:pt>
                <c:pt idx="122">
                  <c:v>207.4639190691405</c:v>
                </c:pt>
                <c:pt idx="123">
                  <c:v>209.3624691987369</c:v>
                </c:pt>
                <c:pt idx="124">
                  <c:v>211.26101932833333</c:v>
                </c:pt>
                <c:pt idx="125">
                  <c:v>213.43079090501496</c:v>
                </c:pt>
                <c:pt idx="126">
                  <c:v>215.87178392878175</c:v>
                </c:pt>
                <c:pt idx="127">
                  <c:v>217.49911261129293</c:v>
                </c:pt>
                <c:pt idx="128">
                  <c:v>219.66888418797458</c:v>
                </c:pt>
                <c:pt idx="129">
                  <c:v>221.56743431757101</c:v>
                </c:pt>
                <c:pt idx="130">
                  <c:v>223.19476300008219</c:v>
                </c:pt>
                <c:pt idx="131">
                  <c:v>224.8220916825934</c:v>
                </c:pt>
                <c:pt idx="132">
                  <c:v>226.44942036510463</c:v>
                </c:pt>
                <c:pt idx="133">
                  <c:v>228.34797049470106</c:v>
                </c:pt>
                <c:pt idx="134">
                  <c:v>229.70407773012701</c:v>
                </c:pt>
                <c:pt idx="135">
                  <c:v>231.87384930680867</c:v>
                </c:pt>
                <c:pt idx="136">
                  <c:v>233.2299565422347</c:v>
                </c:pt>
                <c:pt idx="137">
                  <c:v>235.1285066718311</c:v>
                </c:pt>
                <c:pt idx="138">
                  <c:v>237.2982782485127</c:v>
                </c:pt>
                <c:pt idx="139">
                  <c:v>238.65389767558062</c:v>
                </c:pt>
                <c:pt idx="140">
                  <c:v>240.55244780517702</c:v>
                </c:pt>
                <c:pt idx="141">
                  <c:v>242.72221938185871</c:v>
                </c:pt>
                <c:pt idx="142">
                  <c:v>244.62076951145505</c:v>
                </c:pt>
                <c:pt idx="143">
                  <c:v>246.51931964105151</c:v>
                </c:pt>
                <c:pt idx="144">
                  <c:v>248.41786977064785</c:v>
                </c:pt>
                <c:pt idx="145">
                  <c:v>250.31641990024431</c:v>
                </c:pt>
                <c:pt idx="146">
                  <c:v>251.94374858275549</c:v>
                </c:pt>
                <c:pt idx="147">
                  <c:v>254.11352015943714</c:v>
                </c:pt>
                <c:pt idx="148">
                  <c:v>256.28329173611877</c:v>
                </c:pt>
                <c:pt idx="149">
                  <c:v>258.18184186571511</c:v>
                </c:pt>
                <c:pt idx="150">
                  <c:v>260.08039199531157</c:v>
                </c:pt>
                <c:pt idx="151">
                  <c:v>262.2501635719932</c:v>
                </c:pt>
                <c:pt idx="152">
                  <c:v>264.41993514867477</c:v>
                </c:pt>
                <c:pt idx="153">
                  <c:v>266.58970672535639</c:v>
                </c:pt>
                <c:pt idx="154">
                  <c:v>269.03069974912319</c:v>
                </c:pt>
                <c:pt idx="155">
                  <c:v>271.20047132580481</c:v>
                </c:pt>
                <c:pt idx="156">
                  <c:v>273.09902145540121</c:v>
                </c:pt>
                <c:pt idx="157">
                  <c:v>275.54001447916806</c:v>
                </c:pt>
                <c:pt idx="158">
                  <c:v>277.1673431616793</c:v>
                </c:pt>
                <c:pt idx="159">
                  <c:v>279.0658932912757</c:v>
                </c:pt>
                <c:pt idx="160">
                  <c:v>280.9644434208721</c:v>
                </c:pt>
                <c:pt idx="161">
                  <c:v>282.59177210338328</c:v>
                </c:pt>
                <c:pt idx="162">
                  <c:v>284.49032223297974</c:v>
                </c:pt>
                <c:pt idx="163">
                  <c:v>286.38887236257614</c:v>
                </c:pt>
                <c:pt idx="164">
                  <c:v>288.2874224921726</c:v>
                </c:pt>
                <c:pt idx="165">
                  <c:v>290.18597262176894</c:v>
                </c:pt>
                <c:pt idx="166">
                  <c:v>292.62696564553573</c:v>
                </c:pt>
                <c:pt idx="167">
                  <c:v>294.25429432804697</c:v>
                </c:pt>
                <c:pt idx="168">
                  <c:v>296.42406590472859</c:v>
                </c:pt>
                <c:pt idx="169">
                  <c:v>299.13628037558061</c:v>
                </c:pt>
                <c:pt idx="170">
                  <c:v>302.39093774060308</c:v>
                </c:pt>
                <c:pt idx="171">
                  <c:v>304.56070931728465</c:v>
                </c:pt>
                <c:pt idx="172">
                  <c:v>306.18803799979588</c:v>
                </c:pt>
                <c:pt idx="173">
                  <c:v>307.00170234105144</c:v>
                </c:pt>
                <c:pt idx="174">
                  <c:v>308.08658812939223</c:v>
                </c:pt>
                <c:pt idx="175">
                  <c:v>309.17147391773312</c:v>
                </c:pt>
                <c:pt idx="176">
                  <c:v>309.98513825898868</c:v>
                </c:pt>
                <c:pt idx="177">
                  <c:v>311.61246694149992</c:v>
                </c:pt>
                <c:pt idx="178">
                  <c:v>313.23979562401109</c:v>
                </c:pt>
                <c:pt idx="179">
                  <c:v>314.59590285943716</c:v>
                </c:pt>
                <c:pt idx="180">
                  <c:v>315.95201009486311</c:v>
                </c:pt>
                <c:pt idx="181">
                  <c:v>317.85056022445951</c:v>
                </c:pt>
                <c:pt idx="182">
                  <c:v>319.20666745988552</c:v>
                </c:pt>
                <c:pt idx="183">
                  <c:v>320.83399614239676</c:v>
                </c:pt>
                <c:pt idx="184">
                  <c:v>322.46132482490799</c:v>
                </c:pt>
                <c:pt idx="185">
                  <c:v>324.08816569906111</c:v>
                </c:pt>
                <c:pt idx="186">
                  <c:v>325.98671582865757</c:v>
                </c:pt>
                <c:pt idx="187">
                  <c:v>327.34282306408346</c:v>
                </c:pt>
                <c:pt idx="188">
                  <c:v>329.51259464076514</c:v>
                </c:pt>
                <c:pt idx="189">
                  <c:v>330.86870187619115</c:v>
                </c:pt>
              </c:numCache>
            </c:numRef>
          </c:xVal>
          <c:yVal>
            <c:numRef>
              <c:f>'Excess Power'!$AB$12:$AB$201</c:f>
              <c:numCache>
                <c:formatCode>0.00</c:formatCode>
                <c:ptCount val="190"/>
                <c:pt idx="0">
                  <c:v>33.947567812789003</c:v>
                </c:pt>
                <c:pt idx="1">
                  <c:v>35.186170610065162</c:v>
                </c:pt>
                <c:pt idx="2">
                  <c:v>37.004866455302249</c:v>
                </c:pt>
                <c:pt idx="3">
                  <c:v>38.201729376500452</c:v>
                </c:pt>
                <c:pt idx="4">
                  <c:v>40.010773579959803</c:v>
                </c:pt>
                <c:pt idx="5">
                  <c:v>41.200172594974163</c:v>
                </c:pt>
                <c:pt idx="6">
                  <c:v>42.386418604368579</c:v>
                </c:pt>
                <c:pt idx="7">
                  <c:v>44.181049449517076</c:v>
                </c:pt>
                <c:pt idx="8">
                  <c:v>45.969708970616608</c:v>
                </c:pt>
                <c:pt idx="9">
                  <c:v>47.143639124160032</c:v>
                </c:pt>
                <c:pt idx="10">
                  <c:v>48.31400454376832</c:v>
                </c:pt>
                <c:pt idx="11">
                  <c:v>50.087220802933849</c:v>
                </c:pt>
                <c:pt idx="12">
                  <c:v>51.903945403097438</c:v>
                </c:pt>
                <c:pt idx="13">
                  <c:v>53.062369749100739</c:v>
                </c:pt>
                <c:pt idx="14">
                  <c:v>54.164837100887183</c:v>
                </c:pt>
                <c:pt idx="15">
                  <c:v>55.969234413587102</c:v>
                </c:pt>
                <c:pt idx="16">
                  <c:v>57.658851470160045</c:v>
                </c:pt>
                <c:pt idx="17">
                  <c:v>59.992237042016242</c:v>
                </c:pt>
                <c:pt idx="18">
                  <c:v>61.660021239954126</c:v>
                </c:pt>
                <c:pt idx="19">
                  <c:v>63.378987217293478</c:v>
                </c:pt>
                <c:pt idx="20">
                  <c:v>64.436039909236712</c:v>
                </c:pt>
                <c:pt idx="21">
                  <c:v>66.20571668376941</c:v>
                </c:pt>
                <c:pt idx="22">
                  <c:v>67.904147649414568</c:v>
                </c:pt>
                <c:pt idx="23">
                  <c:v>69.663862954373172</c:v>
                </c:pt>
                <c:pt idx="24">
                  <c:v>71.348831727452151</c:v>
                </c:pt>
                <c:pt idx="25">
                  <c:v>73.098315213135592</c:v>
                </c:pt>
                <c:pt idx="26">
                  <c:v>74.916788476827094</c:v>
                </c:pt>
                <c:pt idx="27">
                  <c:v>77.238489051886248</c:v>
                </c:pt>
                <c:pt idx="28">
                  <c:v>78.974420092818377</c:v>
                </c:pt>
                <c:pt idx="29">
                  <c:v>81.360304340031661</c:v>
                </c:pt>
                <c:pt idx="30">
                  <c:v>83.086772137458553</c:v>
                </c:pt>
                <c:pt idx="31">
                  <c:v>85.38156445350252</c:v>
                </c:pt>
                <c:pt idx="32">
                  <c:v>87.751610761165139</c:v>
                </c:pt>
                <c:pt idx="33">
                  <c:v>89.462525098816201</c:v>
                </c:pt>
                <c:pt idx="34">
                  <c:v>92.303476415432939</c:v>
                </c:pt>
                <c:pt idx="35">
                  <c:v>95.129737770406152</c:v>
                </c:pt>
                <c:pt idx="36">
                  <c:v>98.035143596457928</c:v>
                </c:pt>
                <c:pt idx="37">
                  <c:v>100.27715901469762</c:v>
                </c:pt>
                <c:pt idx="38">
                  <c:v>102.50996632185397</c:v>
                </c:pt>
                <c:pt idx="39">
                  <c:v>104.83388317344874</c:v>
                </c:pt>
                <c:pt idx="40">
                  <c:v>106.49640459840153</c:v>
                </c:pt>
                <c:pt idx="41">
                  <c:v>108.25698578983193</c:v>
                </c:pt>
                <c:pt idx="42">
                  <c:v>109.36087667603803</c:v>
                </c:pt>
                <c:pt idx="43">
                  <c:v>110.46146254411106</c:v>
                </c:pt>
                <c:pt idx="44">
                  <c:v>111.45439975273267</c:v>
                </c:pt>
                <c:pt idx="45">
                  <c:v>113.31146037422201</c:v>
                </c:pt>
                <c:pt idx="46">
                  <c:v>114.95046114694574</c:v>
                </c:pt>
                <c:pt idx="47">
                  <c:v>117.12893763626606</c:v>
                </c:pt>
                <c:pt idx="48">
                  <c:v>118.75488722854627</c:v>
                </c:pt>
                <c:pt idx="49">
                  <c:v>120.37606069766667</c:v>
                </c:pt>
                <c:pt idx="50">
                  <c:v>123.18360997294337</c:v>
                </c:pt>
                <c:pt idx="51">
                  <c:v>124.25548064215788</c:v>
                </c:pt>
                <c:pt idx="52">
                  <c:v>125.85932780539358</c:v>
                </c:pt>
                <c:pt idx="53">
                  <c:v>126.92469856416783</c:v>
                </c:pt>
                <c:pt idx="54">
                  <c:v>127.86442689498273</c:v>
                </c:pt>
                <c:pt idx="55">
                  <c:v>129.45249771825502</c:v>
                </c:pt>
                <c:pt idx="56">
                  <c:v>131.03456137791724</c:v>
                </c:pt>
                <c:pt idx="57">
                  <c:v>131.95536821790182</c:v>
                </c:pt>
                <c:pt idx="58">
                  <c:v>133.52526858214117</c:v>
                </c:pt>
                <c:pt idx="59">
                  <c:v>134.43471281456775</c:v>
                </c:pt>
                <c:pt idx="60">
                  <c:v>136.50974309412592</c:v>
                </c:pt>
                <c:pt idx="61">
                  <c:v>138.05802991206008</c:v>
                </c:pt>
                <c:pt idx="62">
                  <c:v>139.45917007249437</c:v>
                </c:pt>
                <c:pt idx="63">
                  <c:v>141.50325403714561</c:v>
                </c:pt>
                <c:pt idx="64">
                  <c:v>142.7333850290625</c:v>
                </c:pt>
                <c:pt idx="65">
                  <c:v>144.39864609981186</c:v>
                </c:pt>
                <c:pt idx="66">
                  <c:v>145.90915816450553</c:v>
                </c:pt>
                <c:pt idx="67">
                  <c:v>146.75785064075606</c:v>
                </c:pt>
                <c:pt idx="68">
                  <c:v>148.09805764620995</c:v>
                </c:pt>
                <c:pt idx="69">
                  <c:v>150.57501397817327</c:v>
                </c:pt>
                <c:pt idx="70">
                  <c:v>152.54241365299887</c:v>
                </c:pt>
                <c:pt idx="71">
                  <c:v>154.16147831362045</c:v>
                </c:pt>
                <c:pt idx="72">
                  <c:v>156.09805986901966</c:v>
                </c:pt>
                <c:pt idx="73">
                  <c:v>157.36780819592371</c:v>
                </c:pt>
                <c:pt idx="74">
                  <c:v>158.80187370402766</c:v>
                </c:pt>
                <c:pt idx="75">
                  <c:v>160.22967340694547</c:v>
                </c:pt>
                <c:pt idx="76">
                  <c:v>161.46757371079994</c:v>
                </c:pt>
                <c:pt idx="77">
                  <c:v>162.97251515316356</c:v>
                </c:pt>
                <c:pt idx="78">
                  <c:v>164.25458731411044</c:v>
                </c:pt>
                <c:pt idx="79">
                  <c:v>166.35025817230772</c:v>
                </c:pt>
                <c:pt idx="80">
                  <c:v>167.55602681602531</c:v>
                </c:pt>
                <c:pt idx="81">
                  <c:v>168.93016222885296</c:v>
                </c:pt>
                <c:pt idx="82">
                  <c:v>170.71175168393739</c:v>
                </c:pt>
                <c:pt idx="83">
                  <c:v>172.45108194870289</c:v>
                </c:pt>
                <c:pt idx="84">
                  <c:v>173.68680236976951</c:v>
                </c:pt>
                <c:pt idx="85">
                  <c:v>175.08696686622835</c:v>
                </c:pt>
                <c:pt idx="86">
                  <c:v>176.67353371233852</c:v>
                </c:pt>
                <c:pt idx="87">
                  <c:v>177.80931166540029</c:v>
                </c:pt>
                <c:pt idx="88">
                  <c:v>178.76594454883434</c:v>
                </c:pt>
                <c:pt idx="89">
                  <c:v>179.84457098789665</c:v>
                </c:pt>
                <c:pt idx="90">
                  <c:v>180.62258127144156</c:v>
                </c:pt>
                <c:pt idx="91">
                  <c:v>181.45849529904473</c:v>
                </c:pt>
                <c:pt idx="92">
                  <c:v>183.34249456774737</c:v>
                </c:pt>
                <c:pt idx="93">
                  <c:v>184.34195306830273</c:v>
                </c:pt>
                <c:pt idx="94">
                  <c:v>185.27572823389761</c:v>
                </c:pt>
                <c:pt idx="95">
                  <c:v>186.44795768442751</c:v>
                </c:pt>
                <c:pt idx="96">
                  <c:v>186.91362749911934</c:v>
                </c:pt>
                <c:pt idx="97">
                  <c:v>188.31670872734307</c:v>
                </c:pt>
                <c:pt idx="98">
                  <c:v>188.99754243315905</c:v>
                </c:pt>
                <c:pt idx="99">
                  <c:v>189.9242511131458</c:v>
                </c:pt>
                <c:pt idx="100">
                  <c:v>191.10995734070355</c:v>
                </c:pt>
                <c:pt idx="101">
                  <c:v>191.27004215446289</c:v>
                </c:pt>
                <c:pt idx="102">
                  <c:v>191.95555785708439</c:v>
                </c:pt>
                <c:pt idx="103">
                  <c:v>192.36054950680293</c:v>
                </c:pt>
                <c:pt idx="104">
                  <c:v>193.27128758371703</c:v>
                </c:pt>
                <c:pt idx="105">
                  <c:v>193.18866616172306</c:v>
                </c:pt>
                <c:pt idx="106">
                  <c:v>193.95830455656088</c:v>
                </c:pt>
                <c:pt idx="107">
                  <c:v>194.40428511078017</c:v>
                </c:pt>
                <c:pt idx="108">
                  <c:v>194.31273023177769</c:v>
                </c:pt>
                <c:pt idx="109">
                  <c:v>194.37431341903877</c:v>
                </c:pt>
                <c:pt idx="110">
                  <c:v>194.88788619906478</c:v>
                </c:pt>
                <c:pt idx="111">
                  <c:v>194.50746355988363</c:v>
                </c:pt>
                <c:pt idx="112">
                  <c:v>194.73027150800246</c:v>
                </c:pt>
                <c:pt idx="113">
                  <c:v>194.69900185753275</c:v>
                </c:pt>
                <c:pt idx="114">
                  <c:v>195.02277877912388</c:v>
                </c:pt>
                <c:pt idx="115">
                  <c:v>194.79665701238025</c:v>
                </c:pt>
                <c:pt idx="116">
                  <c:v>194.11184080034297</c:v>
                </c:pt>
                <c:pt idx="117">
                  <c:v>193.69794598225144</c:v>
                </c:pt>
                <c:pt idx="118">
                  <c:v>192.864736217813</c:v>
                </c:pt>
                <c:pt idx="119">
                  <c:v>193.27506793367837</c:v>
                </c:pt>
                <c:pt idx="120">
                  <c:v>191.65411031387833</c:v>
                </c:pt>
                <c:pt idx="121">
                  <c:v>191.52933262897398</c:v>
                </c:pt>
                <c:pt idx="122">
                  <c:v>190.09533529233994</c:v>
                </c:pt>
                <c:pt idx="123">
                  <c:v>189.53102299617493</c:v>
                </c:pt>
                <c:pt idx="124">
                  <c:v>188.89804751763248</c:v>
                </c:pt>
                <c:pt idx="125">
                  <c:v>187.6201440680303</c:v>
                </c:pt>
                <c:pt idx="126">
                  <c:v>186.31789166304466</c:v>
                </c:pt>
                <c:pt idx="127">
                  <c:v>185.38363535522063</c:v>
                </c:pt>
                <c:pt idx="128">
                  <c:v>184.49120112715096</c:v>
                </c:pt>
                <c:pt idx="129">
                  <c:v>182.81528984930225</c:v>
                </c:pt>
                <c:pt idx="130">
                  <c:v>182.34776697497347</c:v>
                </c:pt>
                <c:pt idx="131">
                  <c:v>181.17145984385598</c:v>
                </c:pt>
                <c:pt idx="132">
                  <c:v>179.94027120740944</c:v>
                </c:pt>
                <c:pt idx="133">
                  <c:v>177.9976403688583</c:v>
                </c:pt>
                <c:pt idx="134">
                  <c:v>177.96686042436835</c:v>
                </c:pt>
                <c:pt idx="135">
                  <c:v>175.21734218345932</c:v>
                </c:pt>
                <c:pt idx="136">
                  <c:v>174.42964069965896</c:v>
                </c:pt>
                <c:pt idx="137">
                  <c:v>172.86744417834964</c:v>
                </c:pt>
                <c:pt idx="138">
                  <c:v>169.86459187428139</c:v>
                </c:pt>
                <c:pt idx="139">
                  <c:v>168.26435093025847</c:v>
                </c:pt>
                <c:pt idx="140">
                  <c:v>165.16868910992369</c:v>
                </c:pt>
                <c:pt idx="141">
                  <c:v>161.9066411548134</c:v>
                </c:pt>
                <c:pt idx="142">
                  <c:v>158.63893599496475</c:v>
                </c:pt>
                <c:pt idx="143">
                  <c:v>155.2899526611053</c:v>
                </c:pt>
                <c:pt idx="144">
                  <c:v>152.51336033726656</c:v>
                </c:pt>
                <c:pt idx="145">
                  <c:v>148.99902820747874</c:v>
                </c:pt>
                <c:pt idx="146">
                  <c:v>146.20188469338646</c:v>
                </c:pt>
                <c:pt idx="147">
                  <c:v>142.37632126617984</c:v>
                </c:pt>
                <c:pt idx="148">
                  <c:v>137.78617897679356</c:v>
                </c:pt>
                <c:pt idx="149">
                  <c:v>133.92407610121978</c:v>
                </c:pt>
                <c:pt idx="150">
                  <c:v>130.63048922328392</c:v>
                </c:pt>
                <c:pt idx="151">
                  <c:v>126.38652480296565</c:v>
                </c:pt>
                <c:pt idx="152">
                  <c:v>121.37445042233105</c:v>
                </c:pt>
                <c:pt idx="153">
                  <c:v>116.90192445521046</c:v>
                </c:pt>
                <c:pt idx="154">
                  <c:v>112.05903380155007</c:v>
                </c:pt>
                <c:pt idx="155">
                  <c:v>107.34043422000502</c:v>
                </c:pt>
                <c:pt idx="156">
                  <c:v>103.44162077323529</c:v>
                </c:pt>
                <c:pt idx="157">
                  <c:v>97.547410925945769</c:v>
                </c:pt>
                <c:pt idx="158">
                  <c:v>93.752342580668483</c:v>
                </c:pt>
                <c:pt idx="159">
                  <c:v>88.911020800810377</c:v>
                </c:pt>
                <c:pt idx="160">
                  <c:v>84.63217604292953</c:v>
                </c:pt>
                <c:pt idx="161">
                  <c:v>80.610031016780283</c:v>
                </c:pt>
                <c:pt idx="162">
                  <c:v>75.503012849183733</c:v>
                </c:pt>
                <c:pt idx="163">
                  <c:v>69.647169372223971</c:v>
                </c:pt>
                <c:pt idx="164">
                  <c:v>63.695269769931713</c:v>
                </c:pt>
                <c:pt idx="165">
                  <c:v>57.648483226338215</c:v>
                </c:pt>
                <c:pt idx="166">
                  <c:v>50.012437178070286</c:v>
                </c:pt>
                <c:pt idx="167">
                  <c:v>44.177630811715403</c:v>
                </c:pt>
                <c:pt idx="168">
                  <c:v>37.377483751637044</c:v>
                </c:pt>
                <c:pt idx="169">
                  <c:v>28.204438774659025</c:v>
                </c:pt>
                <c:pt idx="170">
                  <c:v>16.537194149558616</c:v>
                </c:pt>
                <c:pt idx="171">
                  <c:v>9.2497896827067621</c:v>
                </c:pt>
                <c:pt idx="172">
                  <c:v>2.879000168900518</c:v>
                </c:pt>
                <c:pt idx="173">
                  <c:v>-6.3486899442182221E-3</c:v>
                </c:pt>
                <c:pt idx="174">
                  <c:v>-5.4114333655318774</c:v>
                </c:pt>
                <c:pt idx="175">
                  <c:v>-10.849043494407965</c:v>
                </c:pt>
                <c:pt idx="176">
                  <c:v>-14.458532350659084</c:v>
                </c:pt>
                <c:pt idx="177">
                  <c:v>-23.04291276412556</c:v>
                </c:pt>
                <c:pt idx="178">
                  <c:v>-31.049961152660444</c:v>
                </c:pt>
                <c:pt idx="179">
                  <c:v>-37.234895552599653</c:v>
                </c:pt>
                <c:pt idx="180">
                  <c:v>-44.781760691468889</c:v>
                </c:pt>
                <c:pt idx="181">
                  <c:v>-54.260565236328318</c:v>
                </c:pt>
                <c:pt idx="182">
                  <c:v>-60.62776209657244</c:v>
                </c:pt>
                <c:pt idx="183">
                  <c:v>-69.648446877240019</c:v>
                </c:pt>
                <c:pt idx="184">
                  <c:v>-78.093150708038422</c:v>
                </c:pt>
                <c:pt idx="185">
                  <c:v>-86.615100154402569</c:v>
                </c:pt>
                <c:pt idx="186">
                  <c:v>-97.204331183327895</c:v>
                </c:pt>
                <c:pt idx="187">
                  <c:v>-104.55393063520887</c:v>
                </c:pt>
                <c:pt idx="188">
                  <c:v>-116.69142795076783</c:v>
                </c:pt>
                <c:pt idx="189">
                  <c:v>-124.18578377048948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AC7-4F7F-8744-068A57298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79839"/>
        <c:axId val="2104240559"/>
      </c:scatterChart>
      <c:valAx>
        <c:axId val="213979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 algn="ctr" rtl="0">
                  <a:defRPr lang="en-GB" sz="1400" b="0" i="0" u="none" strike="noStrike" kern="1200" spc="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0" i="0" u="none" strike="noStrike" kern="1200" spc="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Vehicle Speed [km/h]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240559"/>
        <c:crosses val="autoZero"/>
        <c:crossBetween val="midCat"/>
      </c:valAx>
      <c:valAx>
        <c:axId val="210424055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 algn="ctr" rtl="0">
                  <a:defRPr lang="en-GB" sz="1200" b="0" i="0" u="none" strike="noStrike" kern="1200" spc="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0" i="0" u="none" strike="noStrike" kern="1200" spc="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Excess Power [HP]</a:t>
                </a:r>
              </a:p>
            </c:rich>
          </c:tx>
          <c:overlay val="0"/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79839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DC7150D-B91B-48E9-B80E-AF8144772241}">
  <sheetPr codeName="Chart4"/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5856A78-4A4C-4263-9C0D-DBAD38089243}">
  <sheetPr codeName="Chart6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183334</xdr:colOff>
      <xdr:row>2</xdr:row>
      <xdr:rowOff>92121</xdr:rowOff>
    </xdr:from>
    <xdr:to>
      <xdr:col>16</xdr:col>
      <xdr:colOff>116541</xdr:colOff>
      <xdr:row>29</xdr:row>
      <xdr:rowOff>17929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525715</xdr:colOff>
      <xdr:row>8</xdr:row>
      <xdr:rowOff>3201</xdr:rowOff>
    </xdr:from>
    <xdr:to>
      <xdr:col>16</xdr:col>
      <xdr:colOff>340658</xdr:colOff>
      <xdr:row>29</xdr:row>
      <xdr:rowOff>14087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552613</xdr:colOff>
      <xdr:row>2</xdr:row>
      <xdr:rowOff>63846</xdr:rowOff>
    </xdr:from>
    <xdr:to>
      <xdr:col>13</xdr:col>
      <xdr:colOff>403412</xdr:colOff>
      <xdr:row>23</xdr:row>
      <xdr:rowOff>143435</xdr:rowOff>
    </xdr:to>
    <xdr:graphicFrame macro="">
      <xdr:nvGraphicFramePr>
        <xdr:cNvPr id="2" name="Chart 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0.67573</cdr:x>
      <cdr:y>0.09212</cdr:y>
    </cdr:from>
    <cdr:to>
      <cdr:x>0.90189</cdr:x>
      <cdr:y>0.18453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B903D3E-9E62-7EB2-DDDC-F26EEA2FFAD9}"/>
                </a:ext>
              </a:extLst>
            </cdr:cNvPr>
            <cdr:cNvSpPr txBox="1"/>
          </cdr:nvSpPr>
          <cdr:spPr>
            <a:xfrm xmlns:a="http://schemas.openxmlformats.org/drawingml/2006/main">
              <a:off x="3642869" y="357496"/>
              <a:ext cx="1219200" cy="35858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pt-PT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PT" sz="1100" b="0" i="1">
                        <a:latin typeface="Cambria Math" panose="02040503050406030204" pitchFamily="18" charset="0"/>
                      </a:rPr>
                      <m:t>𝐴𝑣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𝐵𝑣</m:t>
                        </m:r>
                      </m:e>
                      <m:sup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</m:oMath>
                </m:oMathPara>
              </a14:m>
              <a:endParaRPr lang="en-GB" sz="1100"/>
            </a:p>
          </cdr:txBody>
        </cdr:sp>
      </mc:Choice>
      <mc:Fallback xmlns="">
        <cdr:sp macro="" textlink="">
          <cdr:nvSpPr>
            <cdr:cNvPr id="2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B903D3E-9E62-7EB2-DDDC-F26EEA2FFAD9}"/>
                </a:ext>
              </a:extLst>
            </cdr:cNvPr>
            <cdr:cNvSpPr txBox="1"/>
          </cdr:nvSpPr>
          <cdr:spPr>
            <a:xfrm xmlns:a="http://schemas.openxmlformats.org/drawingml/2006/main">
              <a:off x="3642869" y="357496"/>
              <a:ext cx="1219200" cy="35858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square" rtlCol="0"/>
            <a:lstStyle xmlns:a="http://schemas.openxmlformats.org/drawingml/2006/main"/>
            <a:p xmlns:a="http://schemas.openxmlformats.org/drawingml/2006/main">
              <a:r>
                <a:rPr lang="it-IT" sz="1100" b="0" i="0">
                  <a:latin typeface="Cambria Math" panose="02040503050406030204" pitchFamily="18" charset="0"/>
                </a:rPr>
                <a:t>𝑃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it-IT" sz="1100" b="0" i="0">
                  <a:latin typeface="Cambria Math" panose="02040503050406030204" pitchFamily="18" charset="0"/>
                </a:rPr>
                <a:t>𝑛</a:t>
              </a:r>
              <a:r>
                <a:rPr lang="pt-PT" sz="1100" b="0" i="0">
                  <a:latin typeface="Cambria Math" panose="02040503050406030204" pitchFamily="18" charset="0"/>
                </a:rPr>
                <a:t>=𝐴𝑣</a:t>
              </a:r>
              <a:r>
                <a:rPr lang="it-IT" sz="1100" b="0" i="0">
                  <a:latin typeface="Cambria Math" panose="02040503050406030204" pitchFamily="18" charset="0"/>
                </a:rPr>
                <a:t>+〖𝐵𝑣〗^3</a:t>
              </a:r>
              <a:endParaRPr lang="en-GB" sz="1100"/>
            </a:p>
          </cdr:txBody>
        </cdr:sp>
      </mc:Fallback>
    </mc:AlternateContent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8780" cy="60655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0.86329</cdr:x>
      <cdr:y>0.24435</cdr:y>
    </cdr:from>
    <cdr:to>
      <cdr:x>0.8643</cdr:x>
      <cdr:y>0.90705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07AE52A-CA97-7BF9-9166-E1B9555F17B5}"/>
            </a:ext>
          </a:extLst>
        </cdr:cNvPr>
        <cdr:cNvCxnSpPr/>
      </cdr:nvCxnSpPr>
      <cdr:spPr>
        <a:xfrm xmlns:a="http://schemas.openxmlformats.org/drawingml/2006/main" flipH="1">
          <a:off x="8017727" y="1482972"/>
          <a:ext cx="9437" cy="4022013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bg1">
              <a:lumMod val="75000"/>
            </a:schemeClr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0.06728</cdr:x>
      <cdr:y>0.24314</cdr:y>
    </cdr:from>
    <cdr:to>
      <cdr:x>0.86388</cdr:x>
      <cdr:y>0.2501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421326B8-83EC-59C2-644A-D642893DAB0F}"/>
            </a:ext>
          </a:extLst>
        </cdr:cNvPr>
        <cdr:cNvCxnSpPr/>
      </cdr:nvCxnSpPr>
      <cdr:spPr>
        <a:xfrm xmlns:a="http://schemas.openxmlformats.org/drawingml/2006/main" flipV="1">
          <a:off x="624840" y="1475629"/>
          <a:ext cx="7398424" cy="42275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bg1">
              <a:lumMod val="75000"/>
            </a:schemeClr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0.88708</cdr:x>
      <cdr:y>0.85193</cdr:y>
    </cdr:from>
    <cdr:to>
      <cdr:x>0.9574</cdr:x>
      <cdr:y>0.88929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FD468C0E-4D28-2CE4-D88F-A45FDDD2A158}"/>
            </a:ext>
          </a:extLst>
        </cdr:cNvPr>
        <cdr:cNvSpPr txBox="1"/>
      </cdr:nvSpPr>
      <cdr:spPr>
        <a:xfrm xmlns:a="http://schemas.openxmlformats.org/drawingml/2006/main">
          <a:off x="8238655" y="5170451"/>
          <a:ext cx="653143" cy="226740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bg1">
              <a:lumMod val="50000"/>
              <a:alpha val="51000"/>
            </a:schemeClr>
          </a:solidFill>
        </a:ln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wrap="square" rtlCol="0" anchor="b"/>
        <a:lstStyle xmlns:a="http://schemas.openxmlformats.org/drawingml/2006/main"/>
        <a:p xmlns:a="http://schemas.openxmlformats.org/drawingml/2006/main">
          <a:pPr algn="ctr"/>
          <a:r>
            <a:rPr lang="en-GB" sz="900" i="0">
              <a:latin typeface="+mj-lt"/>
            </a:rPr>
            <a:t>v</a:t>
          </a:r>
          <a:r>
            <a:rPr lang="en-GB" sz="900" i="0" baseline="-25000">
              <a:latin typeface="+mj-lt"/>
            </a:rPr>
            <a:t>max</a:t>
          </a:r>
          <a:r>
            <a:rPr lang="en-GB" sz="900" i="0">
              <a:latin typeface="+mj-lt"/>
            </a:rPr>
            <a:t> = 307</a:t>
          </a:r>
        </a:p>
      </cdr:txBody>
    </cdr:sp>
  </cdr:relSizeAnchor>
  <cdr:relSizeAnchor xmlns:cdr="http://schemas.openxmlformats.org/drawingml/2006/chartDrawing">
    <cdr:from>
      <cdr:x>0.86409</cdr:x>
      <cdr:y>0.87061</cdr:y>
    </cdr:from>
    <cdr:to>
      <cdr:x>0.88708</cdr:x>
      <cdr:y>0.90521</cdr:y>
    </cdr:to>
    <cdr:cxnSp macro="">
      <cdr:nvCxnSpPr>
        <cdr:cNvPr id="11" name="Straight Arrow Connector 10">
          <a:extLst xmlns:a="http://schemas.openxmlformats.org/drawingml/2006/main">
            <a:ext uri="{FF2B5EF4-FFF2-40B4-BE49-F238E27FC236}">
              <a16:creationId xmlns:a16="http://schemas.microsoft.com/office/drawing/2014/main" id="{DEB76099-7758-22B8-D61A-39CA7A2021C9}"/>
            </a:ext>
          </a:extLst>
        </cdr:cNvPr>
        <cdr:cNvCxnSpPr>
          <a:stCxn xmlns:a="http://schemas.openxmlformats.org/drawingml/2006/main" id="9" idx="1"/>
        </cdr:cNvCxnSpPr>
      </cdr:nvCxnSpPr>
      <cdr:spPr>
        <a:xfrm xmlns:a="http://schemas.openxmlformats.org/drawingml/2006/main" flipH="1">
          <a:off x="8025161" y="5283821"/>
          <a:ext cx="213494" cy="210013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bg1">
              <a:lumMod val="50000"/>
              <a:alpha val="51000"/>
            </a:schemeClr>
          </a:solidFill>
          <a:headEnd type="none"/>
          <a:tailEnd type="stealt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131703</xdr:colOff>
      <xdr:row>0</xdr:row>
      <xdr:rowOff>178740</xdr:rowOff>
    </xdr:from>
    <xdr:to>
      <xdr:col>8</xdr:col>
      <xdr:colOff>564444</xdr:colOff>
      <xdr:row>9</xdr:row>
      <xdr:rowOff>12229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7435" cy="60691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0.2146</cdr:x>
      <cdr:y>0.06758</cdr:y>
    </cdr:from>
    <cdr:to>
      <cdr:x>0.27203</cdr:x>
      <cdr:y>0.10902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F2E4BCA-9BA2-117B-78BA-86FD5EB2CA2B}"/>
            </a:ext>
          </a:extLst>
        </cdr:cNvPr>
        <cdr:cNvSpPr txBox="1"/>
      </cdr:nvSpPr>
      <cdr:spPr>
        <a:xfrm xmlns:a="http://schemas.openxmlformats.org/drawingml/2006/main">
          <a:off x="1993344" y="409937"/>
          <a:ext cx="533455" cy="251355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1100"/>
            <a:t>I Gear </a:t>
          </a:r>
        </a:p>
      </cdr:txBody>
    </cdr:sp>
  </cdr:relSizeAnchor>
  <cdr:relSizeAnchor xmlns:cdr="http://schemas.openxmlformats.org/drawingml/2006/chartDrawing">
    <cdr:from>
      <cdr:x>0.33665</cdr:x>
      <cdr:y>0.0974</cdr:y>
    </cdr:from>
    <cdr:to>
      <cdr:x>0.39876</cdr:x>
      <cdr:y>0.14092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1629E97-434E-601B-F382-B488FD204BFE}"/>
            </a:ext>
          </a:extLst>
        </cdr:cNvPr>
        <cdr:cNvSpPr txBox="1"/>
      </cdr:nvSpPr>
      <cdr:spPr>
        <a:xfrm xmlns:a="http://schemas.openxmlformats.org/drawingml/2006/main">
          <a:off x="3127097" y="590761"/>
          <a:ext cx="576886" cy="264004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1100"/>
            <a:t>II Gear</a:t>
          </a:r>
        </a:p>
      </cdr:txBody>
    </cdr:sp>
  </cdr:relSizeAnchor>
  <cdr:relSizeAnchor xmlns:cdr="http://schemas.openxmlformats.org/drawingml/2006/chartDrawing">
    <cdr:from>
      <cdr:x>0.48935</cdr:x>
      <cdr:y>0.19445</cdr:y>
    </cdr:from>
    <cdr:to>
      <cdr:x>0.55498</cdr:x>
      <cdr:y>0.23815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CB21BDD0-33E9-6778-AD7F-FF9E9014A154}"/>
            </a:ext>
          </a:extLst>
        </cdr:cNvPr>
        <cdr:cNvSpPr txBox="1"/>
      </cdr:nvSpPr>
      <cdr:spPr>
        <a:xfrm xmlns:a="http://schemas.openxmlformats.org/drawingml/2006/main">
          <a:off x="4545497" y="1179443"/>
          <a:ext cx="609600" cy="265044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1100"/>
            <a:t>III Gear</a:t>
          </a:r>
        </a:p>
      </cdr:txBody>
    </cdr:sp>
  </cdr:relSizeAnchor>
  <cdr:relSizeAnchor xmlns:cdr="http://schemas.openxmlformats.org/drawingml/2006/chartDrawing">
    <cdr:from>
      <cdr:x>0.61633</cdr:x>
      <cdr:y>0.33865</cdr:y>
    </cdr:from>
    <cdr:to>
      <cdr:x>0.68124</cdr:x>
      <cdr:y>0.38125</cdr:y>
    </cdr:to>
    <cdr:sp macro="" textlink="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33DAEA3C-06C4-CFA5-EDB7-52B63C90DF3F}"/>
            </a:ext>
          </a:extLst>
        </cdr:cNvPr>
        <cdr:cNvSpPr txBox="1"/>
      </cdr:nvSpPr>
      <cdr:spPr>
        <a:xfrm xmlns:a="http://schemas.openxmlformats.org/drawingml/2006/main">
          <a:off x="5724938" y="2054087"/>
          <a:ext cx="602975" cy="258418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1100"/>
            <a:t>IV Gear</a:t>
          </a:r>
        </a:p>
      </cdr:txBody>
    </cdr:sp>
  </cdr:relSizeAnchor>
  <cdr:relSizeAnchor xmlns:cdr="http://schemas.openxmlformats.org/drawingml/2006/chartDrawing">
    <cdr:from>
      <cdr:x>0.73974</cdr:x>
      <cdr:y>0.54402</cdr:y>
    </cdr:from>
    <cdr:to>
      <cdr:x>0.80108</cdr:x>
      <cdr:y>0.58772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BCC326E9-D24C-C6D9-9A33-E9C5F9359421}"/>
            </a:ext>
          </a:extLst>
        </cdr:cNvPr>
        <cdr:cNvSpPr txBox="1"/>
      </cdr:nvSpPr>
      <cdr:spPr>
        <a:xfrm xmlns:a="http://schemas.openxmlformats.org/drawingml/2006/main">
          <a:off x="6871253" y="3299790"/>
          <a:ext cx="569844" cy="265045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1100"/>
            <a:t>V Gear</a:t>
          </a:r>
        </a:p>
      </cdr:txBody>
    </cdr:sp>
  </cdr:relSizeAnchor>
  <cdr:relSizeAnchor xmlns:cdr="http://schemas.openxmlformats.org/drawingml/2006/chartDrawing">
    <cdr:from>
      <cdr:x>0.84388</cdr:x>
      <cdr:y>0.78108</cdr:y>
    </cdr:from>
    <cdr:to>
      <cdr:x>0.90951</cdr:x>
      <cdr:y>0.82478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92204BCE-46B2-3CEC-D323-DF7A39F716D9}"/>
            </a:ext>
          </a:extLst>
        </cdr:cNvPr>
        <cdr:cNvSpPr txBox="1"/>
      </cdr:nvSpPr>
      <cdr:spPr>
        <a:xfrm xmlns:a="http://schemas.openxmlformats.org/drawingml/2006/main">
          <a:off x="7838662" y="4737652"/>
          <a:ext cx="609600" cy="265044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/>
        </a:lnRef>
        <a:fillRef xmlns:a="http://schemas.openxmlformats.org/drawingml/2006/main" idx="1">
          <a:schemeClr val="lt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GB" sz="1100"/>
            <a:t>VI Gear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853440</xdr:colOff>
          <xdr:row>3</xdr:row>
          <xdr:rowOff>434340</xdr:rowOff>
        </xdr:from>
        <xdr:to>
          <xdr:col>7</xdr:col>
          <xdr:colOff>1165860</xdr:colOff>
          <xdr:row>7</xdr:row>
          <xdr:rowOff>45720</xdr:rowOff>
        </xdr:to>
        <xdr:sp macro="" textlink="">
          <xdr:nvSpPr>
            <xdr:cNvPr id="9217" name="Factory_Values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594360</xdr:colOff>
          <xdr:row>3</xdr:row>
          <xdr:rowOff>388620</xdr:rowOff>
        </xdr:from>
        <xdr:to>
          <xdr:col>10</xdr:col>
          <xdr:colOff>175260</xdr:colOff>
          <xdr:row>7</xdr:row>
          <xdr:rowOff>38100</xdr:rowOff>
        </xdr:to>
        <xdr:sp macro="" textlink="">
          <xdr:nvSpPr>
            <xdr:cNvPr id="9218" name="Random_Values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525780</xdr:colOff>
          <xdr:row>1</xdr:row>
          <xdr:rowOff>175260</xdr:rowOff>
        </xdr:from>
        <xdr:to>
          <xdr:col>4</xdr:col>
          <xdr:colOff>609600</xdr:colOff>
          <xdr:row>4</xdr:row>
          <xdr:rowOff>22860</xdr:rowOff>
        </xdr:to>
        <xdr:sp macro="" textlink="">
          <xdr:nvSpPr>
            <xdr:cNvPr id="7169" name="Tim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1021080</xdr:colOff>
          <xdr:row>1</xdr:row>
          <xdr:rowOff>152400</xdr:rowOff>
        </xdr:from>
        <xdr:to>
          <xdr:col>6</xdr:col>
          <xdr:colOff>251460</xdr:colOff>
          <xdr:row>4</xdr:row>
          <xdr:rowOff>45720</xdr:rowOff>
        </xdr:to>
        <xdr:sp macro="" textlink="">
          <xdr:nvSpPr>
            <xdr:cNvPr id="7170" name="Clear_Data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2</xdr:row>
          <xdr:rowOff>83820</xdr:rowOff>
        </xdr:from>
        <xdr:to>
          <xdr:col>10</xdr:col>
          <xdr:colOff>1150620</xdr:colOff>
          <xdr:row>4</xdr:row>
          <xdr:rowOff>106680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0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1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6880-8F8A-4943-B2AD-8CD59058E585}">
  <sheetPr codeName="Sheet1"/>
  <dimension ref="B3:AA291"/>
  <sheetViews>
    <sheetView zoomScale="85" zoomScaleNormal="85" workbookViewId="0">
      <selection activeCell="C4" sqref="C4"/>
    </sheetView>
  </sheetViews>
  <sheetFormatPr defaultRowHeight="14.4" x14ac:dyDescent="0.3"/>
  <cols>
    <col min="2" max="2" width="8.21875" bestFit="1" customWidth="1"/>
    <col min="3" max="3" width="17.6640625" bestFit="1" customWidth="1"/>
    <col min="4" max="4" width="11.77734375" customWidth="1"/>
    <col min="5" max="5" width="9.21875" customWidth="1"/>
    <col min="6" max="6" width="19.109375" bestFit="1" customWidth="1"/>
    <col min="16" max="16" width="11.6640625" bestFit="1" customWidth="1"/>
    <col min="17" max="17" width="12.88671875" customWidth="1"/>
    <col min="18" max="18" width="9.33203125" customWidth="1"/>
    <col min="20" max="20" width="11.109375" bestFit="1" customWidth="1"/>
    <col min="21" max="21" width="10.33203125" customWidth="1"/>
    <col min="22" max="22" width="11.5546875" customWidth="1"/>
  </cols>
  <sheetData>
    <row r="3" spans="2:25" ht="15" x14ac:dyDescent="0.35">
      <c r="B3" s="5" t="s">
        <v>2</v>
      </c>
      <c r="C3" s="5" t="s">
        <v>8</v>
      </c>
      <c r="D3" s="5"/>
      <c r="E3" s="5" t="s">
        <v>2</v>
      </c>
      <c r="F3" s="5" t="s">
        <v>7</v>
      </c>
      <c r="Y3" s="2"/>
    </row>
    <row r="4" spans="2:25" x14ac:dyDescent="0.3">
      <c r="B4">
        <v>1000.4</v>
      </c>
      <c r="C4">
        <v>40.7273</v>
      </c>
      <c r="E4">
        <v>989.27700000000004</v>
      </c>
      <c r="F4">
        <v>275.39400000000001</v>
      </c>
    </row>
    <row r="5" spans="2:25" x14ac:dyDescent="0.3">
      <c r="B5">
        <v>1011.52</v>
      </c>
      <c r="C5">
        <v>42.181800000000003</v>
      </c>
      <c r="E5">
        <v>994.83699999999999</v>
      </c>
      <c r="F5">
        <v>277.33300000000003</v>
      </c>
    </row>
    <row r="6" spans="2:25" x14ac:dyDescent="0.3">
      <c r="B6">
        <v>1033.76</v>
      </c>
      <c r="C6">
        <v>44.363599999999998</v>
      </c>
      <c r="E6">
        <v>1005.96</v>
      </c>
      <c r="F6">
        <v>279.27300000000002</v>
      </c>
    </row>
    <row r="7" spans="2:25" x14ac:dyDescent="0.3">
      <c r="B7">
        <v>1050.44</v>
      </c>
      <c r="C7">
        <v>45.818199999999997</v>
      </c>
      <c r="E7">
        <v>1017.08</v>
      </c>
      <c r="F7">
        <v>281.21199999999999</v>
      </c>
    </row>
    <row r="8" spans="2:25" x14ac:dyDescent="0.3">
      <c r="B8">
        <v>1072.68</v>
      </c>
      <c r="C8">
        <v>48</v>
      </c>
      <c r="E8">
        <v>1028.2</v>
      </c>
      <c r="F8">
        <v>284.12099999999998</v>
      </c>
    </row>
    <row r="9" spans="2:25" x14ac:dyDescent="0.3">
      <c r="B9">
        <v>1089.3599999999999</v>
      </c>
      <c r="C9">
        <v>49.454500000000003</v>
      </c>
      <c r="E9">
        <v>1039.32</v>
      </c>
      <c r="F9">
        <v>287.02999999999997</v>
      </c>
    </row>
    <row r="10" spans="2:25" x14ac:dyDescent="0.3">
      <c r="B10">
        <v>1106.04</v>
      </c>
      <c r="C10">
        <v>50.909100000000002</v>
      </c>
      <c r="E10">
        <v>1050.44</v>
      </c>
      <c r="F10">
        <v>289.93900000000002</v>
      </c>
    </row>
    <row r="11" spans="2:25" x14ac:dyDescent="0.3">
      <c r="B11">
        <v>1128.28</v>
      </c>
      <c r="C11">
        <v>53.090899999999998</v>
      </c>
      <c r="E11">
        <v>1056</v>
      </c>
      <c r="F11">
        <v>291.87900000000002</v>
      </c>
    </row>
    <row r="12" spans="2:25" x14ac:dyDescent="0.3">
      <c r="B12">
        <v>1150.52</v>
      </c>
      <c r="C12">
        <v>55.2727</v>
      </c>
      <c r="E12">
        <v>1061.56</v>
      </c>
      <c r="F12">
        <v>293.81799999999998</v>
      </c>
    </row>
    <row r="13" spans="2:25" x14ac:dyDescent="0.3">
      <c r="B13">
        <v>1167.2</v>
      </c>
      <c r="C13">
        <v>56.7273</v>
      </c>
      <c r="E13">
        <v>1072.68</v>
      </c>
      <c r="F13">
        <v>295.75799999999998</v>
      </c>
    </row>
    <row r="14" spans="2:25" x14ac:dyDescent="0.3">
      <c r="B14">
        <v>1183.8800000000001</v>
      </c>
      <c r="C14">
        <v>58.181800000000003</v>
      </c>
      <c r="E14">
        <v>1078.24</v>
      </c>
      <c r="F14">
        <v>297.697</v>
      </c>
    </row>
    <row r="15" spans="2:25" x14ac:dyDescent="0.3">
      <c r="B15">
        <v>1206.1199999999999</v>
      </c>
      <c r="C15">
        <v>60.363599999999998</v>
      </c>
      <c r="E15">
        <v>1089.3599999999999</v>
      </c>
      <c r="F15">
        <v>299.63600000000002</v>
      </c>
    </row>
    <row r="16" spans="2:25" x14ac:dyDescent="0.3">
      <c r="B16">
        <v>1222.8</v>
      </c>
      <c r="C16">
        <v>62.545499999999997</v>
      </c>
      <c r="E16">
        <v>1094.92</v>
      </c>
      <c r="F16">
        <v>301.57600000000002</v>
      </c>
    </row>
    <row r="17" spans="2:27" x14ac:dyDescent="0.3">
      <c r="B17">
        <v>1239.48</v>
      </c>
      <c r="C17">
        <v>64</v>
      </c>
      <c r="E17">
        <v>1100.48</v>
      </c>
      <c r="F17">
        <v>303.51499999999999</v>
      </c>
    </row>
    <row r="18" spans="2:27" x14ac:dyDescent="0.3">
      <c r="B18">
        <v>1261.72</v>
      </c>
      <c r="C18">
        <v>65.454499999999996</v>
      </c>
      <c r="E18">
        <v>1111.5999999999999</v>
      </c>
      <c r="F18">
        <v>305.45499999999998</v>
      </c>
    </row>
    <row r="19" spans="2:27" x14ac:dyDescent="0.3">
      <c r="B19">
        <v>1278.4000000000001</v>
      </c>
      <c r="C19">
        <v>67.636399999999995</v>
      </c>
      <c r="E19">
        <v>1122.72</v>
      </c>
      <c r="F19">
        <v>307.39400000000001</v>
      </c>
    </row>
    <row r="20" spans="2:27" x14ac:dyDescent="0.3">
      <c r="B20">
        <v>1306.2</v>
      </c>
      <c r="C20">
        <v>69.818200000000004</v>
      </c>
      <c r="E20">
        <v>1128.28</v>
      </c>
      <c r="F20">
        <v>309.33300000000003</v>
      </c>
    </row>
    <row r="21" spans="2:27" x14ac:dyDescent="0.3">
      <c r="B21">
        <v>1334</v>
      </c>
      <c r="C21">
        <v>72.7273</v>
      </c>
      <c r="E21">
        <v>1133.8399999999999</v>
      </c>
      <c r="F21">
        <v>311.27300000000002</v>
      </c>
    </row>
    <row r="22" spans="2:27" x14ac:dyDescent="0.3">
      <c r="B22">
        <v>1361.8</v>
      </c>
      <c r="C22">
        <v>74.909099999999995</v>
      </c>
      <c r="E22">
        <v>1144.96</v>
      </c>
      <c r="F22">
        <v>313.21199999999999</v>
      </c>
    </row>
    <row r="23" spans="2:27" x14ac:dyDescent="0.3">
      <c r="B23">
        <v>1384.03</v>
      </c>
      <c r="C23">
        <v>77.090900000000005</v>
      </c>
      <c r="E23">
        <v>1150.52</v>
      </c>
      <c r="F23">
        <v>315.15199999999999</v>
      </c>
    </row>
    <row r="24" spans="2:27" x14ac:dyDescent="0.3">
      <c r="B24">
        <v>1406.27</v>
      </c>
      <c r="C24">
        <v>78.545500000000004</v>
      </c>
      <c r="E24">
        <v>1156.08</v>
      </c>
      <c r="F24">
        <v>317.09100000000001</v>
      </c>
      <c r="W24" t="s">
        <v>0</v>
      </c>
    </row>
    <row r="25" spans="2:27" x14ac:dyDescent="0.3">
      <c r="B25">
        <v>1422.95</v>
      </c>
      <c r="C25">
        <v>80.7273</v>
      </c>
      <c r="E25">
        <v>1161.6400000000001</v>
      </c>
      <c r="F25">
        <v>318.06099999999998</v>
      </c>
    </row>
    <row r="26" spans="2:27" x14ac:dyDescent="0.3">
      <c r="B26">
        <v>1445.19</v>
      </c>
      <c r="C26">
        <v>82.909099999999995</v>
      </c>
      <c r="E26">
        <v>1167.2</v>
      </c>
      <c r="F26">
        <v>319.02999999999997</v>
      </c>
    </row>
    <row r="27" spans="2:27" x14ac:dyDescent="0.3">
      <c r="B27">
        <v>1461.87</v>
      </c>
      <c r="C27">
        <v>85.090900000000005</v>
      </c>
      <c r="E27">
        <v>1172.76</v>
      </c>
      <c r="F27">
        <v>320.97000000000003</v>
      </c>
    </row>
    <row r="28" spans="2:27" x14ac:dyDescent="0.3">
      <c r="B28">
        <v>1484.11</v>
      </c>
      <c r="C28">
        <v>87.2727</v>
      </c>
      <c r="E28">
        <v>1178.32</v>
      </c>
      <c r="F28">
        <v>322.90899999999999</v>
      </c>
    </row>
    <row r="29" spans="2:27" x14ac:dyDescent="0.3">
      <c r="B29">
        <v>1500.79</v>
      </c>
      <c r="C29">
        <v>89.454499999999996</v>
      </c>
      <c r="E29">
        <v>1183.8800000000001</v>
      </c>
      <c r="F29">
        <v>323.87900000000002</v>
      </c>
    </row>
    <row r="30" spans="2:27" x14ac:dyDescent="0.3">
      <c r="B30">
        <v>1511.91</v>
      </c>
      <c r="C30">
        <v>91.636399999999995</v>
      </c>
      <c r="E30">
        <v>1195</v>
      </c>
      <c r="F30">
        <v>325.81799999999998</v>
      </c>
    </row>
    <row r="31" spans="2:27" x14ac:dyDescent="0.3">
      <c r="B31">
        <v>1534.15</v>
      </c>
      <c r="C31">
        <v>94.545500000000004</v>
      </c>
      <c r="E31">
        <v>1200.56</v>
      </c>
      <c r="F31">
        <v>327.75799999999998</v>
      </c>
    </row>
    <row r="32" spans="2:27" ht="15.6" x14ac:dyDescent="0.35">
      <c r="B32">
        <v>1550.83</v>
      </c>
      <c r="C32">
        <v>96.7273</v>
      </c>
      <c r="E32">
        <v>1206.1199999999999</v>
      </c>
      <c r="F32">
        <v>328.72699999999998</v>
      </c>
      <c r="AA32" s="6"/>
    </row>
    <row r="33" spans="2:6" x14ac:dyDescent="0.3">
      <c r="B33">
        <v>1567.51</v>
      </c>
      <c r="C33">
        <v>99.636399999999995</v>
      </c>
      <c r="E33">
        <v>1211.68</v>
      </c>
      <c r="F33">
        <v>330.66699999999997</v>
      </c>
    </row>
    <row r="34" spans="2:6" x14ac:dyDescent="0.3">
      <c r="B34">
        <v>1584.19</v>
      </c>
      <c r="C34">
        <v>101.818</v>
      </c>
      <c r="E34">
        <v>1217.24</v>
      </c>
      <c r="F34">
        <v>331.63600000000002</v>
      </c>
    </row>
    <row r="35" spans="2:6" x14ac:dyDescent="0.3">
      <c r="B35">
        <v>1606.43</v>
      </c>
      <c r="C35">
        <v>104.727</v>
      </c>
      <c r="E35">
        <v>1222.8</v>
      </c>
      <c r="F35">
        <v>333.57600000000002</v>
      </c>
    </row>
    <row r="36" spans="2:6" x14ac:dyDescent="0.3">
      <c r="B36">
        <v>1623.11</v>
      </c>
      <c r="C36">
        <v>107.636</v>
      </c>
      <c r="E36">
        <v>1228.3599999999999</v>
      </c>
      <c r="F36">
        <v>335.51499999999999</v>
      </c>
    </row>
    <row r="37" spans="2:6" x14ac:dyDescent="0.3">
      <c r="B37">
        <v>1639.79</v>
      </c>
      <c r="C37">
        <v>109.818</v>
      </c>
      <c r="E37">
        <v>1239.48</v>
      </c>
      <c r="F37">
        <v>337.45499999999998</v>
      </c>
    </row>
    <row r="38" spans="2:6" x14ac:dyDescent="0.3">
      <c r="B38">
        <v>1667.59</v>
      </c>
      <c r="C38">
        <v>113.455</v>
      </c>
      <c r="E38">
        <v>1245.04</v>
      </c>
      <c r="F38">
        <v>339.39400000000001</v>
      </c>
    </row>
    <row r="39" spans="2:6" x14ac:dyDescent="0.3">
      <c r="B39">
        <v>1695.39</v>
      </c>
      <c r="C39">
        <v>117.09099999999999</v>
      </c>
      <c r="E39">
        <v>1256.1600000000001</v>
      </c>
      <c r="F39">
        <v>341.33300000000003</v>
      </c>
    </row>
    <row r="40" spans="2:6" x14ac:dyDescent="0.3">
      <c r="B40">
        <v>1717.63</v>
      </c>
      <c r="C40">
        <v>120.727</v>
      </c>
      <c r="E40">
        <v>1261.72</v>
      </c>
      <c r="F40">
        <v>343.27300000000002</v>
      </c>
    </row>
    <row r="41" spans="2:6" x14ac:dyDescent="0.3">
      <c r="B41">
        <v>1739.87</v>
      </c>
      <c r="C41">
        <v>123.636</v>
      </c>
      <c r="E41">
        <v>1267.28</v>
      </c>
      <c r="F41">
        <v>345.21199999999999</v>
      </c>
    </row>
    <row r="42" spans="2:6" x14ac:dyDescent="0.3">
      <c r="B42">
        <v>1762.11</v>
      </c>
      <c r="C42">
        <v>126.545</v>
      </c>
      <c r="E42">
        <v>1272.8399999999999</v>
      </c>
      <c r="F42">
        <v>347.15199999999999</v>
      </c>
    </row>
    <row r="43" spans="2:6" x14ac:dyDescent="0.3">
      <c r="B43">
        <v>1778.79</v>
      </c>
      <c r="C43">
        <v>129.45500000000001</v>
      </c>
      <c r="E43">
        <v>1283.96</v>
      </c>
      <c r="F43">
        <v>349.09100000000001</v>
      </c>
    </row>
    <row r="44" spans="2:6" x14ac:dyDescent="0.3">
      <c r="B44">
        <v>1795.47</v>
      </c>
      <c r="C44">
        <v>131.636</v>
      </c>
      <c r="E44">
        <v>1289.52</v>
      </c>
      <c r="F44">
        <v>351.03</v>
      </c>
    </row>
    <row r="45" spans="2:6" x14ac:dyDescent="0.3">
      <c r="B45">
        <v>1806.59</v>
      </c>
      <c r="C45">
        <v>133.81800000000001</v>
      </c>
      <c r="E45">
        <v>1300.6400000000001</v>
      </c>
      <c r="F45">
        <v>352</v>
      </c>
    </row>
    <row r="46" spans="2:6" x14ac:dyDescent="0.3">
      <c r="B46">
        <v>1817.71</v>
      </c>
      <c r="C46">
        <v>135.273</v>
      </c>
      <c r="E46">
        <v>1306.2</v>
      </c>
      <c r="F46">
        <v>354.90899999999999</v>
      </c>
    </row>
    <row r="47" spans="2:6" x14ac:dyDescent="0.3">
      <c r="B47">
        <v>1828.83</v>
      </c>
      <c r="C47">
        <v>136.727</v>
      </c>
      <c r="E47">
        <v>1317.32</v>
      </c>
      <c r="F47">
        <v>357.81799999999998</v>
      </c>
    </row>
    <row r="48" spans="2:6" x14ac:dyDescent="0.3">
      <c r="B48">
        <v>1845.51</v>
      </c>
      <c r="C48">
        <v>138.18199999999999</v>
      </c>
      <c r="E48">
        <v>1328.44</v>
      </c>
      <c r="F48">
        <v>359.75799999999998</v>
      </c>
    </row>
    <row r="49" spans="2:6" x14ac:dyDescent="0.3">
      <c r="B49">
        <v>1851.07</v>
      </c>
      <c r="C49">
        <v>140.364</v>
      </c>
      <c r="E49">
        <v>1334</v>
      </c>
      <c r="F49">
        <v>361.697</v>
      </c>
    </row>
    <row r="50" spans="2:6" x14ac:dyDescent="0.3">
      <c r="B50">
        <v>1867.75</v>
      </c>
      <c r="C50">
        <v>142.54499999999999</v>
      </c>
      <c r="E50">
        <v>1345.12</v>
      </c>
      <c r="F50">
        <v>363.63600000000002</v>
      </c>
    </row>
    <row r="51" spans="2:6" x14ac:dyDescent="0.3">
      <c r="B51">
        <v>1889.99</v>
      </c>
      <c r="C51">
        <v>145.45500000000001</v>
      </c>
      <c r="E51">
        <v>1350.68</v>
      </c>
      <c r="F51">
        <v>365.57600000000002</v>
      </c>
    </row>
    <row r="52" spans="2:6" x14ac:dyDescent="0.3">
      <c r="B52">
        <v>1906.67</v>
      </c>
      <c r="C52">
        <v>147.636</v>
      </c>
      <c r="E52">
        <v>1361.8</v>
      </c>
      <c r="F52">
        <v>367.51499999999999</v>
      </c>
    </row>
    <row r="53" spans="2:6" x14ac:dyDescent="0.3">
      <c r="B53">
        <v>1923.35</v>
      </c>
      <c r="C53">
        <v>149.81800000000001</v>
      </c>
      <c r="E53">
        <v>1367.36</v>
      </c>
      <c r="F53">
        <v>369.45499999999998</v>
      </c>
    </row>
    <row r="54" spans="2:6" x14ac:dyDescent="0.3">
      <c r="B54">
        <v>1945.59</v>
      </c>
      <c r="C54">
        <v>153.45500000000001</v>
      </c>
      <c r="E54">
        <v>1372.92</v>
      </c>
      <c r="F54">
        <v>371.39400000000001</v>
      </c>
    </row>
    <row r="55" spans="2:6" x14ac:dyDescent="0.3">
      <c r="B55">
        <v>1956.71</v>
      </c>
      <c r="C55">
        <v>154.90899999999999</v>
      </c>
      <c r="E55">
        <v>1384.03</v>
      </c>
      <c r="F55">
        <v>374.303</v>
      </c>
    </row>
    <row r="56" spans="2:6" x14ac:dyDescent="0.3">
      <c r="B56">
        <v>1973.39</v>
      </c>
      <c r="C56">
        <v>157.09100000000001</v>
      </c>
      <c r="E56">
        <v>1395.15</v>
      </c>
      <c r="F56">
        <v>376.24200000000002</v>
      </c>
    </row>
    <row r="57" spans="2:6" x14ac:dyDescent="0.3">
      <c r="B57">
        <v>1984.51</v>
      </c>
      <c r="C57">
        <v>158.54499999999999</v>
      </c>
      <c r="E57">
        <v>1406.27</v>
      </c>
      <c r="F57">
        <v>380.12099999999998</v>
      </c>
    </row>
    <row r="58" spans="2:6" x14ac:dyDescent="0.3">
      <c r="B58">
        <v>2001.19</v>
      </c>
      <c r="C58">
        <v>160</v>
      </c>
      <c r="E58">
        <v>1417.39</v>
      </c>
      <c r="F58">
        <v>383.03</v>
      </c>
    </row>
    <row r="59" spans="2:6" x14ac:dyDescent="0.3">
      <c r="B59">
        <v>2017.87</v>
      </c>
      <c r="C59">
        <v>162.18199999999999</v>
      </c>
      <c r="E59">
        <v>1428.51</v>
      </c>
      <c r="F59">
        <v>384.97</v>
      </c>
    </row>
    <row r="60" spans="2:6" x14ac:dyDescent="0.3">
      <c r="B60">
        <v>2034.55</v>
      </c>
      <c r="C60">
        <v>164.364</v>
      </c>
      <c r="E60">
        <v>1439.63</v>
      </c>
      <c r="F60">
        <v>388.84800000000001</v>
      </c>
    </row>
    <row r="61" spans="2:6" x14ac:dyDescent="0.3">
      <c r="B61">
        <v>2051.23</v>
      </c>
      <c r="C61">
        <v>165.81800000000001</v>
      </c>
      <c r="E61">
        <v>1456.31</v>
      </c>
      <c r="F61">
        <v>391.75799999999998</v>
      </c>
    </row>
    <row r="62" spans="2:6" x14ac:dyDescent="0.3">
      <c r="B62">
        <v>2067.91</v>
      </c>
      <c r="C62">
        <v>168</v>
      </c>
      <c r="E62">
        <v>1467.43</v>
      </c>
      <c r="F62">
        <v>395.63600000000002</v>
      </c>
    </row>
    <row r="63" spans="2:6" x14ac:dyDescent="0.3">
      <c r="B63">
        <v>2084.59</v>
      </c>
      <c r="C63">
        <v>169.45500000000001</v>
      </c>
      <c r="E63">
        <v>1478.55</v>
      </c>
      <c r="F63">
        <v>398.54500000000002</v>
      </c>
    </row>
    <row r="64" spans="2:6" x14ac:dyDescent="0.3">
      <c r="B64">
        <v>2106.83</v>
      </c>
      <c r="C64">
        <v>172.364</v>
      </c>
      <c r="E64">
        <v>1489.67</v>
      </c>
      <c r="F64">
        <v>401.45499999999998</v>
      </c>
    </row>
    <row r="65" spans="2:6" x14ac:dyDescent="0.3">
      <c r="B65">
        <v>2123.5100000000002</v>
      </c>
      <c r="C65">
        <v>174.54499999999999</v>
      </c>
      <c r="E65">
        <v>1495.23</v>
      </c>
      <c r="F65">
        <v>403.39400000000001</v>
      </c>
    </row>
    <row r="66" spans="2:6" x14ac:dyDescent="0.3">
      <c r="B66">
        <v>2145.75</v>
      </c>
      <c r="C66">
        <v>176.727</v>
      </c>
      <c r="E66">
        <v>1500.79</v>
      </c>
      <c r="F66">
        <v>405.33300000000003</v>
      </c>
    </row>
    <row r="67" spans="2:6" x14ac:dyDescent="0.3">
      <c r="B67">
        <v>2167.9899999999998</v>
      </c>
      <c r="C67">
        <v>179.636</v>
      </c>
      <c r="E67">
        <v>1506.35</v>
      </c>
      <c r="F67">
        <v>406.303</v>
      </c>
    </row>
    <row r="68" spans="2:6" x14ac:dyDescent="0.3">
      <c r="B68">
        <v>2195.79</v>
      </c>
      <c r="C68">
        <v>181.81800000000001</v>
      </c>
      <c r="E68">
        <v>1511.91</v>
      </c>
      <c r="F68">
        <v>408.24200000000002</v>
      </c>
    </row>
    <row r="69" spans="2:6" x14ac:dyDescent="0.3">
      <c r="B69">
        <v>2206.91</v>
      </c>
      <c r="C69">
        <v>184</v>
      </c>
      <c r="E69">
        <v>1517.47</v>
      </c>
      <c r="F69">
        <v>410.18200000000002</v>
      </c>
    </row>
    <row r="70" spans="2:6" x14ac:dyDescent="0.3">
      <c r="B70">
        <v>2223.59</v>
      </c>
      <c r="C70">
        <v>186.18199999999999</v>
      </c>
      <c r="E70">
        <v>1523.03</v>
      </c>
      <c r="F70">
        <v>412.12099999999998</v>
      </c>
    </row>
    <row r="71" spans="2:6" x14ac:dyDescent="0.3">
      <c r="B71">
        <v>2240.27</v>
      </c>
      <c r="C71">
        <v>187.636</v>
      </c>
      <c r="E71">
        <v>1528.59</v>
      </c>
      <c r="F71">
        <v>414.06099999999998</v>
      </c>
    </row>
    <row r="72" spans="2:6" x14ac:dyDescent="0.3">
      <c r="B72">
        <v>2262.5100000000002</v>
      </c>
      <c r="C72">
        <v>189.81800000000001</v>
      </c>
      <c r="E72">
        <v>1534.15</v>
      </c>
      <c r="F72">
        <v>416</v>
      </c>
    </row>
    <row r="73" spans="2:6" x14ac:dyDescent="0.3">
      <c r="B73">
        <v>2290.31</v>
      </c>
      <c r="C73">
        <v>193.45500000000001</v>
      </c>
      <c r="E73">
        <v>1545.27</v>
      </c>
      <c r="F73">
        <v>417.93900000000002</v>
      </c>
    </row>
    <row r="74" spans="2:6" x14ac:dyDescent="0.3">
      <c r="B74">
        <v>2312.5500000000002</v>
      </c>
      <c r="C74">
        <v>196.364</v>
      </c>
      <c r="E74">
        <v>1550.83</v>
      </c>
      <c r="F74">
        <v>419.87900000000002</v>
      </c>
    </row>
    <row r="75" spans="2:6" x14ac:dyDescent="0.3">
      <c r="B75">
        <v>2345.91</v>
      </c>
      <c r="C75">
        <v>199.273</v>
      </c>
      <c r="E75">
        <v>1556.39</v>
      </c>
      <c r="F75">
        <v>422.78800000000001</v>
      </c>
    </row>
    <row r="76" spans="2:6" x14ac:dyDescent="0.3">
      <c r="B76">
        <v>2368.15</v>
      </c>
      <c r="C76">
        <v>202.18199999999999</v>
      </c>
      <c r="E76">
        <v>1567.51</v>
      </c>
      <c r="F76">
        <v>424.72699999999998</v>
      </c>
    </row>
    <row r="77" spans="2:6" x14ac:dyDescent="0.3">
      <c r="B77">
        <v>2390.39</v>
      </c>
      <c r="C77">
        <v>204.364</v>
      </c>
      <c r="E77">
        <v>1573.07</v>
      </c>
      <c r="F77">
        <v>426.66699999999997</v>
      </c>
    </row>
    <row r="78" spans="2:6" x14ac:dyDescent="0.3">
      <c r="B78">
        <v>2407.0700000000002</v>
      </c>
      <c r="C78">
        <v>206.54499999999999</v>
      </c>
      <c r="E78">
        <v>1578.63</v>
      </c>
      <c r="F78">
        <v>428.60599999999999</v>
      </c>
    </row>
    <row r="79" spans="2:6" x14ac:dyDescent="0.3">
      <c r="B79">
        <v>2423.75</v>
      </c>
      <c r="C79">
        <v>208.727</v>
      </c>
      <c r="E79">
        <v>1584.19</v>
      </c>
      <c r="F79">
        <v>430.54500000000002</v>
      </c>
    </row>
    <row r="80" spans="2:6" x14ac:dyDescent="0.3">
      <c r="B80">
        <v>2445.9899999999998</v>
      </c>
      <c r="C80">
        <v>210.90899999999999</v>
      </c>
      <c r="E80">
        <v>1589.75</v>
      </c>
      <c r="F80">
        <v>432.48500000000001</v>
      </c>
    </row>
    <row r="81" spans="2:6" x14ac:dyDescent="0.3">
      <c r="B81">
        <v>2479.35</v>
      </c>
      <c r="C81">
        <v>213.81800000000001</v>
      </c>
      <c r="E81">
        <v>1595.31</v>
      </c>
      <c r="F81">
        <v>434.42399999999998</v>
      </c>
    </row>
    <row r="82" spans="2:6" x14ac:dyDescent="0.3">
      <c r="B82">
        <v>2518.27</v>
      </c>
      <c r="C82">
        <v>216.727</v>
      </c>
      <c r="E82">
        <v>1606.43</v>
      </c>
      <c r="F82">
        <v>436.36399999999998</v>
      </c>
    </row>
    <row r="83" spans="2:6" x14ac:dyDescent="0.3">
      <c r="B83">
        <v>2551.63</v>
      </c>
      <c r="C83">
        <v>220.364</v>
      </c>
      <c r="E83">
        <v>1611.99</v>
      </c>
      <c r="F83">
        <v>438.303</v>
      </c>
    </row>
    <row r="84" spans="2:6" x14ac:dyDescent="0.3">
      <c r="B84">
        <v>2590.5500000000002</v>
      </c>
      <c r="C84">
        <v>223.273</v>
      </c>
      <c r="E84">
        <v>1617.55</v>
      </c>
      <c r="F84">
        <v>441.21199999999999</v>
      </c>
    </row>
    <row r="85" spans="2:6" x14ac:dyDescent="0.3">
      <c r="B85">
        <v>2623.91</v>
      </c>
      <c r="C85">
        <v>226.18199999999999</v>
      </c>
      <c r="E85">
        <v>1628.67</v>
      </c>
      <c r="F85">
        <v>443.15199999999999</v>
      </c>
    </row>
    <row r="86" spans="2:6" x14ac:dyDescent="0.3">
      <c r="B86">
        <v>2662.83</v>
      </c>
      <c r="C86">
        <v>229.81800000000001</v>
      </c>
      <c r="E86">
        <v>1634.23</v>
      </c>
      <c r="F86">
        <v>445.09100000000001</v>
      </c>
    </row>
    <row r="87" spans="2:6" x14ac:dyDescent="0.3">
      <c r="B87">
        <v>2701.75</v>
      </c>
      <c r="C87">
        <v>233.45500000000001</v>
      </c>
      <c r="E87">
        <v>1639.79</v>
      </c>
      <c r="F87">
        <v>447.03</v>
      </c>
    </row>
    <row r="88" spans="2:6" x14ac:dyDescent="0.3">
      <c r="B88">
        <v>2751.79</v>
      </c>
      <c r="C88">
        <v>237.09100000000001</v>
      </c>
      <c r="E88">
        <v>1645.35</v>
      </c>
      <c r="F88">
        <v>448.97</v>
      </c>
    </row>
    <row r="89" spans="2:6" x14ac:dyDescent="0.3">
      <c r="B89">
        <v>2796.27</v>
      </c>
      <c r="C89">
        <v>240.727</v>
      </c>
      <c r="E89">
        <v>1656.47</v>
      </c>
      <c r="F89">
        <v>450.90899999999999</v>
      </c>
    </row>
    <row r="90" spans="2:6" x14ac:dyDescent="0.3">
      <c r="B90">
        <v>2835.19</v>
      </c>
      <c r="C90">
        <v>244.364</v>
      </c>
      <c r="E90">
        <v>1662.03</v>
      </c>
      <c r="F90">
        <v>453.81799999999998</v>
      </c>
    </row>
    <row r="91" spans="2:6" x14ac:dyDescent="0.3">
      <c r="B91">
        <v>2868.55</v>
      </c>
      <c r="C91">
        <v>247.273</v>
      </c>
      <c r="E91">
        <v>1667.59</v>
      </c>
      <c r="F91">
        <v>455.75799999999998</v>
      </c>
    </row>
    <row r="92" spans="2:6" x14ac:dyDescent="0.3">
      <c r="B92">
        <v>2890.79</v>
      </c>
      <c r="C92">
        <v>249.45500000000001</v>
      </c>
      <c r="E92">
        <v>1678.71</v>
      </c>
      <c r="F92">
        <v>458.66699999999997</v>
      </c>
    </row>
    <row r="93" spans="2:6" x14ac:dyDescent="0.3">
      <c r="B93">
        <v>2924.15</v>
      </c>
      <c r="C93">
        <v>252.364</v>
      </c>
      <c r="E93">
        <v>1684.27</v>
      </c>
      <c r="F93">
        <v>460.60599999999999</v>
      </c>
    </row>
    <row r="94" spans="2:6" x14ac:dyDescent="0.3">
      <c r="B94">
        <v>2963.07</v>
      </c>
      <c r="C94">
        <v>255.273</v>
      </c>
      <c r="E94">
        <v>1695.39</v>
      </c>
      <c r="F94">
        <v>463.51499999999999</v>
      </c>
    </row>
    <row r="95" spans="2:6" x14ac:dyDescent="0.3">
      <c r="B95">
        <v>3013.11</v>
      </c>
      <c r="C95">
        <v>258.90899999999999</v>
      </c>
      <c r="E95">
        <v>1700.95</v>
      </c>
      <c r="F95">
        <v>465.45499999999998</v>
      </c>
    </row>
    <row r="96" spans="2:6" x14ac:dyDescent="0.3">
      <c r="B96">
        <v>3040.91</v>
      </c>
      <c r="C96">
        <v>262.54500000000002</v>
      </c>
      <c r="E96">
        <v>1712.07</v>
      </c>
      <c r="F96">
        <v>467.39400000000001</v>
      </c>
    </row>
    <row r="97" spans="2:6" x14ac:dyDescent="0.3">
      <c r="B97">
        <v>3085.39</v>
      </c>
      <c r="C97">
        <v>266.18200000000002</v>
      </c>
      <c r="E97">
        <v>1717.63</v>
      </c>
      <c r="F97">
        <v>469.33300000000003</v>
      </c>
    </row>
    <row r="98" spans="2:6" x14ac:dyDescent="0.3">
      <c r="B98">
        <v>3129.86</v>
      </c>
      <c r="C98">
        <v>269.81799999999998</v>
      </c>
      <c r="E98">
        <v>1723.19</v>
      </c>
      <c r="F98">
        <v>472.24200000000002</v>
      </c>
    </row>
    <row r="99" spans="2:6" x14ac:dyDescent="0.3">
      <c r="B99">
        <v>3168.78</v>
      </c>
      <c r="C99">
        <v>273.45499999999998</v>
      </c>
      <c r="E99">
        <v>1734.31</v>
      </c>
      <c r="F99">
        <v>474.18200000000002</v>
      </c>
    </row>
    <row r="100" spans="2:6" x14ac:dyDescent="0.3">
      <c r="B100">
        <v>3207.7</v>
      </c>
      <c r="C100">
        <v>276.36399999999998</v>
      </c>
      <c r="E100">
        <v>1739.87</v>
      </c>
      <c r="F100">
        <v>477.09100000000001</v>
      </c>
    </row>
    <row r="101" spans="2:6" x14ac:dyDescent="0.3">
      <c r="B101">
        <v>3252.18</v>
      </c>
      <c r="C101">
        <v>280.72699999999998</v>
      </c>
      <c r="E101">
        <v>1745.43</v>
      </c>
      <c r="F101">
        <v>479.03</v>
      </c>
    </row>
    <row r="102" spans="2:6" x14ac:dyDescent="0.3">
      <c r="B102">
        <v>3296.66</v>
      </c>
      <c r="C102">
        <v>284.36399999999998</v>
      </c>
      <c r="E102">
        <v>1756.55</v>
      </c>
      <c r="F102">
        <v>481.93900000000002</v>
      </c>
    </row>
    <row r="103" spans="2:6" x14ac:dyDescent="0.3">
      <c r="B103">
        <v>3346.7</v>
      </c>
      <c r="C103">
        <v>288.72699999999998</v>
      </c>
      <c r="E103">
        <v>1767.67</v>
      </c>
      <c r="F103">
        <v>484.84800000000001</v>
      </c>
    </row>
    <row r="104" spans="2:6" x14ac:dyDescent="0.3">
      <c r="B104">
        <v>3391.18</v>
      </c>
      <c r="C104">
        <v>293.09100000000001</v>
      </c>
      <c r="E104">
        <v>1773.23</v>
      </c>
      <c r="F104">
        <v>486.78800000000001</v>
      </c>
    </row>
    <row r="105" spans="2:6" x14ac:dyDescent="0.3">
      <c r="B105">
        <v>3430.1</v>
      </c>
      <c r="C105">
        <v>296</v>
      </c>
      <c r="E105">
        <v>1778.79</v>
      </c>
      <c r="F105">
        <v>488.72699999999998</v>
      </c>
    </row>
    <row r="106" spans="2:6" x14ac:dyDescent="0.3">
      <c r="B106">
        <v>3480.14</v>
      </c>
      <c r="C106">
        <v>300.36399999999998</v>
      </c>
      <c r="E106">
        <v>1789.91</v>
      </c>
      <c r="F106">
        <v>490.66699999999997</v>
      </c>
    </row>
    <row r="107" spans="2:6" x14ac:dyDescent="0.3">
      <c r="B107">
        <v>3513.5</v>
      </c>
      <c r="C107">
        <v>303.27300000000002</v>
      </c>
      <c r="E107">
        <v>1795.47</v>
      </c>
      <c r="F107">
        <v>493.57600000000002</v>
      </c>
    </row>
    <row r="108" spans="2:6" x14ac:dyDescent="0.3">
      <c r="B108">
        <v>3557.98</v>
      </c>
      <c r="C108">
        <v>307.63600000000002</v>
      </c>
      <c r="E108">
        <v>1806.59</v>
      </c>
      <c r="F108">
        <v>495.51499999999999</v>
      </c>
    </row>
    <row r="109" spans="2:6" x14ac:dyDescent="0.3">
      <c r="B109">
        <v>3596.9</v>
      </c>
      <c r="C109">
        <v>310.54500000000002</v>
      </c>
      <c r="E109">
        <v>1812.15</v>
      </c>
      <c r="F109">
        <v>497.45499999999998</v>
      </c>
    </row>
    <row r="110" spans="2:6" x14ac:dyDescent="0.3">
      <c r="B110">
        <v>3641.38</v>
      </c>
      <c r="C110">
        <v>314.90899999999999</v>
      </c>
      <c r="E110">
        <v>1817.71</v>
      </c>
      <c r="F110">
        <v>500.36399999999998</v>
      </c>
    </row>
    <row r="111" spans="2:6" x14ac:dyDescent="0.3">
      <c r="B111">
        <v>3680.3</v>
      </c>
      <c r="C111">
        <v>318.54500000000002</v>
      </c>
      <c r="E111">
        <v>1828.83</v>
      </c>
      <c r="F111">
        <v>502.303</v>
      </c>
    </row>
    <row r="112" spans="2:6" x14ac:dyDescent="0.3">
      <c r="B112">
        <v>3708.1</v>
      </c>
      <c r="C112">
        <v>320.72699999999998</v>
      </c>
      <c r="E112">
        <v>1839.95</v>
      </c>
      <c r="F112">
        <v>505.21199999999999</v>
      </c>
    </row>
    <row r="113" spans="2:6" x14ac:dyDescent="0.3">
      <c r="B113">
        <v>3724.78</v>
      </c>
      <c r="C113">
        <v>322.18200000000002</v>
      </c>
      <c r="E113">
        <v>1845.51</v>
      </c>
      <c r="F113">
        <v>508.12099999999998</v>
      </c>
    </row>
    <row r="114" spans="2:6" x14ac:dyDescent="0.3">
      <c r="B114">
        <v>3752.58</v>
      </c>
      <c r="C114">
        <v>325.09100000000001</v>
      </c>
      <c r="E114">
        <v>1856.63</v>
      </c>
      <c r="F114">
        <v>511.03</v>
      </c>
    </row>
    <row r="115" spans="2:6" x14ac:dyDescent="0.3">
      <c r="B115">
        <v>3791.5</v>
      </c>
      <c r="C115">
        <v>328</v>
      </c>
      <c r="E115">
        <v>1862.19</v>
      </c>
      <c r="F115">
        <v>513.93899999999996</v>
      </c>
    </row>
    <row r="116" spans="2:6" x14ac:dyDescent="0.3">
      <c r="B116">
        <v>3813.74</v>
      </c>
      <c r="C116">
        <v>330.18200000000002</v>
      </c>
      <c r="E116">
        <v>1873.31</v>
      </c>
      <c r="F116">
        <v>516.84799999999996</v>
      </c>
    </row>
    <row r="117" spans="2:6" x14ac:dyDescent="0.3">
      <c r="B117">
        <v>3847.1</v>
      </c>
      <c r="C117">
        <v>333.09100000000001</v>
      </c>
      <c r="E117">
        <v>1884.43</v>
      </c>
      <c r="F117">
        <v>518.78800000000001</v>
      </c>
    </row>
    <row r="118" spans="2:6" x14ac:dyDescent="0.3">
      <c r="B118">
        <v>3891.58</v>
      </c>
      <c r="C118">
        <v>337.45499999999998</v>
      </c>
      <c r="E118">
        <v>1889.99</v>
      </c>
      <c r="F118">
        <v>521.697</v>
      </c>
    </row>
    <row r="119" spans="2:6" x14ac:dyDescent="0.3">
      <c r="B119">
        <v>3941.62</v>
      </c>
      <c r="C119">
        <v>341.81799999999998</v>
      </c>
      <c r="E119">
        <v>1901.11</v>
      </c>
      <c r="F119">
        <v>523.63599999999997</v>
      </c>
    </row>
    <row r="120" spans="2:6" x14ac:dyDescent="0.3">
      <c r="B120">
        <v>3980.54</v>
      </c>
      <c r="C120">
        <v>344.72699999999998</v>
      </c>
      <c r="E120">
        <v>1906.67</v>
      </c>
      <c r="F120">
        <v>525.57600000000002</v>
      </c>
    </row>
    <row r="121" spans="2:6" x14ac:dyDescent="0.3">
      <c r="B121">
        <v>4030.58</v>
      </c>
      <c r="C121">
        <v>349.09100000000001</v>
      </c>
      <c r="E121">
        <v>1912.23</v>
      </c>
      <c r="F121">
        <v>527.51499999999999</v>
      </c>
    </row>
    <row r="122" spans="2:6" x14ac:dyDescent="0.3">
      <c r="B122">
        <v>4069.5</v>
      </c>
      <c r="C122">
        <v>352</v>
      </c>
      <c r="E122">
        <v>1923.35</v>
      </c>
      <c r="F122">
        <v>530.42399999999998</v>
      </c>
    </row>
    <row r="123" spans="2:6" x14ac:dyDescent="0.3">
      <c r="B123">
        <v>4108.42</v>
      </c>
      <c r="C123">
        <v>356.36399999999998</v>
      </c>
      <c r="E123">
        <v>1934.47</v>
      </c>
      <c r="F123">
        <v>533.33299999999997</v>
      </c>
    </row>
    <row r="124" spans="2:6" x14ac:dyDescent="0.3">
      <c r="B124">
        <v>4147.34</v>
      </c>
      <c r="C124">
        <v>358.54500000000002</v>
      </c>
      <c r="E124">
        <v>1940.03</v>
      </c>
      <c r="F124">
        <v>536.24199999999996</v>
      </c>
    </row>
    <row r="125" spans="2:6" x14ac:dyDescent="0.3">
      <c r="B125">
        <v>4197.38</v>
      </c>
      <c r="C125">
        <v>363.63600000000002</v>
      </c>
      <c r="E125">
        <v>1951.15</v>
      </c>
      <c r="F125">
        <v>538.18200000000002</v>
      </c>
    </row>
    <row r="126" spans="2:6" x14ac:dyDescent="0.3">
      <c r="B126">
        <v>4252.9799999999996</v>
      </c>
      <c r="C126">
        <v>368</v>
      </c>
      <c r="E126">
        <v>1956.71</v>
      </c>
      <c r="F126">
        <v>541.09100000000001</v>
      </c>
    </row>
    <row r="127" spans="2:6" x14ac:dyDescent="0.3">
      <c r="B127">
        <v>4291.8999999999996</v>
      </c>
      <c r="C127">
        <v>371.63600000000002</v>
      </c>
      <c r="E127">
        <v>1967.83</v>
      </c>
      <c r="F127">
        <v>542.06100000000004</v>
      </c>
    </row>
    <row r="128" spans="2:6" x14ac:dyDescent="0.3">
      <c r="B128">
        <v>4330.82</v>
      </c>
      <c r="C128">
        <v>375.27300000000002</v>
      </c>
      <c r="E128">
        <v>1984.51</v>
      </c>
      <c r="F128">
        <v>544</v>
      </c>
    </row>
    <row r="129" spans="2:6" x14ac:dyDescent="0.3">
      <c r="B129">
        <v>4375.3</v>
      </c>
      <c r="C129">
        <v>378.90899999999999</v>
      </c>
      <c r="E129">
        <v>2001.19</v>
      </c>
      <c r="F129">
        <v>544.97</v>
      </c>
    </row>
    <row r="130" spans="2:6" x14ac:dyDescent="0.3">
      <c r="B130">
        <v>4425.34</v>
      </c>
      <c r="C130">
        <v>383.27300000000002</v>
      </c>
      <c r="E130">
        <v>2012.31</v>
      </c>
      <c r="F130">
        <v>545.93899999999996</v>
      </c>
    </row>
    <row r="131" spans="2:6" x14ac:dyDescent="0.3">
      <c r="B131">
        <v>4458.7</v>
      </c>
      <c r="C131">
        <v>386.18200000000002</v>
      </c>
      <c r="E131">
        <v>2028.99</v>
      </c>
      <c r="F131">
        <v>547.87900000000002</v>
      </c>
    </row>
    <row r="132" spans="2:6" x14ac:dyDescent="0.3">
      <c r="B132">
        <v>4503.18</v>
      </c>
      <c r="C132">
        <v>390.54500000000002</v>
      </c>
      <c r="E132">
        <v>2040.11</v>
      </c>
      <c r="F132">
        <v>548.84799999999996</v>
      </c>
    </row>
    <row r="133" spans="2:6" x14ac:dyDescent="0.3">
      <c r="B133">
        <v>4542.1000000000004</v>
      </c>
      <c r="C133">
        <v>393.45499999999998</v>
      </c>
      <c r="E133">
        <v>2051.23</v>
      </c>
      <c r="F133">
        <v>549.81799999999998</v>
      </c>
    </row>
    <row r="134" spans="2:6" x14ac:dyDescent="0.3">
      <c r="B134">
        <v>4575.46</v>
      </c>
      <c r="C134">
        <v>397.09100000000001</v>
      </c>
      <c r="E134">
        <v>2067.91</v>
      </c>
      <c r="F134">
        <v>550.78800000000001</v>
      </c>
    </row>
    <row r="135" spans="2:6" x14ac:dyDescent="0.3">
      <c r="B135">
        <v>4608.82</v>
      </c>
      <c r="C135">
        <v>400</v>
      </c>
      <c r="E135">
        <v>2079.0300000000002</v>
      </c>
      <c r="F135">
        <v>552.72699999999998</v>
      </c>
    </row>
    <row r="136" spans="2:6" x14ac:dyDescent="0.3">
      <c r="B136">
        <v>4642.18</v>
      </c>
      <c r="C136">
        <v>402.90899999999999</v>
      </c>
      <c r="E136">
        <v>2095.71</v>
      </c>
      <c r="F136">
        <v>553.697</v>
      </c>
    </row>
    <row r="137" spans="2:6" x14ac:dyDescent="0.3">
      <c r="B137">
        <v>4681.1000000000004</v>
      </c>
      <c r="C137">
        <v>405.81799999999998</v>
      </c>
      <c r="E137">
        <v>2112.39</v>
      </c>
      <c r="F137">
        <v>554.66700000000003</v>
      </c>
    </row>
    <row r="138" spans="2:6" x14ac:dyDescent="0.3">
      <c r="B138">
        <v>4708.8999999999996</v>
      </c>
      <c r="C138">
        <v>409.45499999999998</v>
      </c>
      <c r="E138">
        <v>2123.5100000000002</v>
      </c>
      <c r="F138">
        <v>556.60599999999999</v>
      </c>
    </row>
    <row r="139" spans="2:6" x14ac:dyDescent="0.3">
      <c r="B139">
        <v>4753.38</v>
      </c>
      <c r="C139">
        <v>412.36399999999998</v>
      </c>
      <c r="E139">
        <v>2134.63</v>
      </c>
      <c r="F139">
        <v>557.57600000000002</v>
      </c>
    </row>
    <row r="140" spans="2:6" x14ac:dyDescent="0.3">
      <c r="B140">
        <v>4781.18</v>
      </c>
      <c r="C140">
        <v>415.27300000000002</v>
      </c>
      <c r="E140">
        <v>2151.31</v>
      </c>
      <c r="F140">
        <v>558.54499999999996</v>
      </c>
    </row>
    <row r="141" spans="2:6" x14ac:dyDescent="0.3">
      <c r="B141">
        <v>4820.1000000000004</v>
      </c>
      <c r="C141">
        <v>418.90899999999999</v>
      </c>
      <c r="E141">
        <v>2162.4299999999998</v>
      </c>
      <c r="F141">
        <v>560.48500000000001</v>
      </c>
    </row>
    <row r="142" spans="2:6" x14ac:dyDescent="0.3">
      <c r="B142">
        <v>4864.58</v>
      </c>
      <c r="C142">
        <v>421.81799999999998</v>
      </c>
      <c r="E142">
        <v>2179.11</v>
      </c>
      <c r="F142">
        <v>561.45500000000004</v>
      </c>
    </row>
    <row r="143" spans="2:6" x14ac:dyDescent="0.3">
      <c r="B143">
        <v>4892.37</v>
      </c>
      <c r="C143">
        <v>424</v>
      </c>
      <c r="E143">
        <v>2201.35</v>
      </c>
      <c r="F143">
        <v>563.39400000000001</v>
      </c>
    </row>
    <row r="144" spans="2:6" x14ac:dyDescent="0.3">
      <c r="B144">
        <v>4931.29</v>
      </c>
      <c r="C144">
        <v>426.18200000000002</v>
      </c>
      <c r="E144">
        <v>2218.0300000000002</v>
      </c>
      <c r="F144">
        <v>565.33299999999997</v>
      </c>
    </row>
    <row r="145" spans="2:6" x14ac:dyDescent="0.3">
      <c r="B145">
        <v>4975.7700000000004</v>
      </c>
      <c r="C145">
        <v>429.09100000000001</v>
      </c>
      <c r="E145">
        <v>2240.27</v>
      </c>
      <c r="F145">
        <v>567.27300000000002</v>
      </c>
    </row>
    <row r="146" spans="2:6" x14ac:dyDescent="0.3">
      <c r="B146">
        <v>5014.6899999999996</v>
      </c>
      <c r="C146">
        <v>431.27300000000002</v>
      </c>
      <c r="E146">
        <v>2262.5100000000002</v>
      </c>
      <c r="F146">
        <v>569.21199999999999</v>
      </c>
    </row>
    <row r="147" spans="2:6" x14ac:dyDescent="0.3">
      <c r="B147">
        <v>5053.6099999999997</v>
      </c>
      <c r="C147">
        <v>433.45499999999998</v>
      </c>
      <c r="E147">
        <v>2284.75</v>
      </c>
      <c r="F147">
        <v>571.15200000000004</v>
      </c>
    </row>
    <row r="148" spans="2:6" x14ac:dyDescent="0.3">
      <c r="B148">
        <v>5092.53</v>
      </c>
      <c r="C148">
        <v>436.36399999999998</v>
      </c>
      <c r="E148">
        <v>2306.9899999999998</v>
      </c>
      <c r="F148">
        <v>573.09100000000001</v>
      </c>
    </row>
    <row r="149" spans="2:6" x14ac:dyDescent="0.3">
      <c r="B149">
        <v>5131.45</v>
      </c>
      <c r="C149">
        <v>438.54500000000002</v>
      </c>
      <c r="E149">
        <v>2329.23</v>
      </c>
      <c r="F149">
        <v>575.03</v>
      </c>
    </row>
    <row r="150" spans="2:6" x14ac:dyDescent="0.3">
      <c r="B150">
        <v>5164.8100000000004</v>
      </c>
      <c r="C150">
        <v>440.72699999999998</v>
      </c>
      <c r="E150">
        <v>2340.35</v>
      </c>
      <c r="F150">
        <v>576.97</v>
      </c>
    </row>
    <row r="151" spans="2:6" x14ac:dyDescent="0.3">
      <c r="B151">
        <v>5209.29</v>
      </c>
      <c r="C151">
        <v>443.63600000000002</v>
      </c>
      <c r="E151">
        <v>2362.59</v>
      </c>
      <c r="F151">
        <v>578.90899999999999</v>
      </c>
    </row>
    <row r="152" spans="2:6" x14ac:dyDescent="0.3">
      <c r="B152">
        <v>5253.77</v>
      </c>
      <c r="C152">
        <v>445.81799999999998</v>
      </c>
      <c r="E152">
        <v>2384.83</v>
      </c>
      <c r="F152">
        <v>580.84799999999996</v>
      </c>
    </row>
    <row r="153" spans="2:6" x14ac:dyDescent="0.3">
      <c r="B153">
        <v>5292.69</v>
      </c>
      <c r="C153">
        <v>448</v>
      </c>
      <c r="E153">
        <v>2407.0700000000002</v>
      </c>
      <c r="F153">
        <v>582.78800000000001</v>
      </c>
    </row>
    <row r="154" spans="2:6" x14ac:dyDescent="0.3">
      <c r="B154">
        <v>5331.61</v>
      </c>
      <c r="C154">
        <v>450.90899999999999</v>
      </c>
      <c r="E154">
        <v>2423.75</v>
      </c>
      <c r="F154">
        <v>583.75800000000004</v>
      </c>
    </row>
    <row r="155" spans="2:6" x14ac:dyDescent="0.3">
      <c r="B155">
        <v>5376.09</v>
      </c>
      <c r="C155">
        <v>453.81799999999998</v>
      </c>
      <c r="E155">
        <v>2440.4299999999998</v>
      </c>
      <c r="F155">
        <v>584.72699999999998</v>
      </c>
    </row>
    <row r="156" spans="2:6" x14ac:dyDescent="0.3">
      <c r="B156">
        <v>5420.57</v>
      </c>
      <c r="C156">
        <v>456</v>
      </c>
      <c r="E156">
        <v>2457.11</v>
      </c>
      <c r="F156">
        <v>584.72699999999998</v>
      </c>
    </row>
    <row r="157" spans="2:6" x14ac:dyDescent="0.3">
      <c r="B157">
        <v>5465.05</v>
      </c>
      <c r="C157">
        <v>458.90899999999999</v>
      </c>
      <c r="E157">
        <v>2479.35</v>
      </c>
      <c r="F157">
        <v>584.72699999999998</v>
      </c>
    </row>
    <row r="158" spans="2:6" x14ac:dyDescent="0.3">
      <c r="B158">
        <v>5515.09</v>
      </c>
      <c r="C158">
        <v>462.54500000000002</v>
      </c>
      <c r="E158">
        <v>2496.0300000000002</v>
      </c>
      <c r="F158">
        <v>585.697</v>
      </c>
    </row>
    <row r="159" spans="2:6" x14ac:dyDescent="0.3">
      <c r="B159">
        <v>5559.57</v>
      </c>
      <c r="C159">
        <v>465.45499999999998</v>
      </c>
      <c r="E159">
        <v>2518.27</v>
      </c>
      <c r="F159">
        <v>585.697</v>
      </c>
    </row>
    <row r="160" spans="2:6" x14ac:dyDescent="0.3">
      <c r="B160">
        <v>5598.49</v>
      </c>
      <c r="C160">
        <v>468.36399999999998</v>
      </c>
      <c r="E160">
        <v>2540.5100000000002</v>
      </c>
      <c r="F160">
        <v>585.697</v>
      </c>
    </row>
    <row r="161" spans="2:6" x14ac:dyDescent="0.3">
      <c r="B161">
        <v>5648.53</v>
      </c>
      <c r="C161">
        <v>471.27300000000002</v>
      </c>
      <c r="E161">
        <v>2562.75</v>
      </c>
      <c r="F161">
        <v>585.697</v>
      </c>
    </row>
    <row r="162" spans="2:6" x14ac:dyDescent="0.3">
      <c r="B162">
        <v>5681.89</v>
      </c>
      <c r="C162">
        <v>473.45499999999998</v>
      </c>
      <c r="E162">
        <v>2579.4299999999998</v>
      </c>
      <c r="F162">
        <v>585.697</v>
      </c>
    </row>
    <row r="163" spans="2:6" x14ac:dyDescent="0.3">
      <c r="B163">
        <v>5720.81</v>
      </c>
      <c r="C163">
        <v>475.63600000000002</v>
      </c>
      <c r="E163">
        <v>2596.11</v>
      </c>
      <c r="F163">
        <v>586.66700000000003</v>
      </c>
    </row>
    <row r="164" spans="2:6" x14ac:dyDescent="0.3">
      <c r="B164">
        <v>5759.73</v>
      </c>
      <c r="C164">
        <v>478.54500000000002</v>
      </c>
      <c r="E164">
        <v>2612.79</v>
      </c>
      <c r="F164">
        <v>586.66700000000003</v>
      </c>
    </row>
    <row r="165" spans="2:6" x14ac:dyDescent="0.3">
      <c r="B165">
        <v>5793.09</v>
      </c>
      <c r="C165">
        <v>480.72699999999998</v>
      </c>
      <c r="E165">
        <v>2629.47</v>
      </c>
      <c r="F165">
        <v>587.63599999999997</v>
      </c>
    </row>
    <row r="166" spans="2:6" x14ac:dyDescent="0.3">
      <c r="B166">
        <v>5832.01</v>
      </c>
      <c r="C166">
        <v>482.90899999999999</v>
      </c>
      <c r="E166">
        <v>2646.15</v>
      </c>
      <c r="F166">
        <v>587.63599999999997</v>
      </c>
    </row>
    <row r="167" spans="2:6" x14ac:dyDescent="0.3">
      <c r="B167">
        <v>5870.93</v>
      </c>
      <c r="C167">
        <v>484.36399999999998</v>
      </c>
      <c r="E167">
        <v>2662.83</v>
      </c>
      <c r="F167">
        <v>587.63599999999997</v>
      </c>
    </row>
    <row r="168" spans="2:6" x14ac:dyDescent="0.3">
      <c r="B168">
        <v>5909.85</v>
      </c>
      <c r="C168">
        <v>485.81799999999998</v>
      </c>
      <c r="E168">
        <v>2679.51</v>
      </c>
      <c r="F168">
        <v>587.63599999999997</v>
      </c>
    </row>
    <row r="169" spans="2:6" x14ac:dyDescent="0.3">
      <c r="B169">
        <v>5948.77</v>
      </c>
      <c r="C169">
        <v>487.27300000000002</v>
      </c>
      <c r="E169">
        <v>2701.75</v>
      </c>
      <c r="F169">
        <v>587.63599999999997</v>
      </c>
    </row>
    <row r="170" spans="2:6" x14ac:dyDescent="0.3">
      <c r="B170">
        <v>5998.81</v>
      </c>
      <c r="C170">
        <v>489.45499999999998</v>
      </c>
      <c r="E170">
        <v>2718.43</v>
      </c>
      <c r="F170">
        <v>588.60599999999999</v>
      </c>
    </row>
    <row r="171" spans="2:6" x14ac:dyDescent="0.3">
      <c r="B171">
        <v>6032.17</v>
      </c>
      <c r="C171">
        <v>490.18200000000002</v>
      </c>
      <c r="E171">
        <v>2740.67</v>
      </c>
      <c r="F171">
        <v>588.60599999999999</v>
      </c>
    </row>
    <row r="172" spans="2:6" x14ac:dyDescent="0.3">
      <c r="B172">
        <v>6076.65</v>
      </c>
      <c r="C172">
        <v>492.36399999999998</v>
      </c>
      <c r="E172">
        <v>2762.91</v>
      </c>
      <c r="F172">
        <v>588.60599999999999</v>
      </c>
    </row>
    <row r="173" spans="2:6" x14ac:dyDescent="0.3">
      <c r="B173">
        <v>6132.25</v>
      </c>
      <c r="C173">
        <v>494.54500000000002</v>
      </c>
      <c r="E173">
        <v>2785.15</v>
      </c>
      <c r="F173">
        <v>589.57600000000002</v>
      </c>
    </row>
    <row r="174" spans="2:6" x14ac:dyDescent="0.3">
      <c r="B174">
        <v>6198.97</v>
      </c>
      <c r="C174">
        <v>496.72699999999998</v>
      </c>
      <c r="E174">
        <v>2807.39</v>
      </c>
      <c r="F174">
        <v>589.57600000000002</v>
      </c>
    </row>
    <row r="175" spans="2:6" x14ac:dyDescent="0.3">
      <c r="B175">
        <v>6243.45</v>
      </c>
      <c r="C175">
        <v>498.90899999999999</v>
      </c>
      <c r="E175">
        <v>2824.07</v>
      </c>
      <c r="F175">
        <v>589.57600000000002</v>
      </c>
    </row>
    <row r="176" spans="2:6" x14ac:dyDescent="0.3">
      <c r="B176">
        <v>6276.81</v>
      </c>
      <c r="C176">
        <v>499.63600000000002</v>
      </c>
      <c r="E176">
        <v>2840.75</v>
      </c>
      <c r="F176">
        <v>589.57600000000002</v>
      </c>
    </row>
    <row r="177" spans="2:6" x14ac:dyDescent="0.3">
      <c r="B177" s="1">
        <v>6293.49</v>
      </c>
      <c r="C177" s="1">
        <v>500.36399999999998</v>
      </c>
      <c r="E177">
        <v>2857.43</v>
      </c>
      <c r="F177">
        <v>590.54499999999996</v>
      </c>
    </row>
    <row r="178" spans="2:6" x14ac:dyDescent="0.3">
      <c r="B178">
        <v>6315.73</v>
      </c>
      <c r="C178">
        <v>499.63600000000002</v>
      </c>
      <c r="E178">
        <v>2879.67</v>
      </c>
      <c r="F178">
        <v>590.54499999999996</v>
      </c>
    </row>
    <row r="179" spans="2:6" x14ac:dyDescent="0.3">
      <c r="B179">
        <v>6337.97</v>
      </c>
      <c r="C179">
        <v>498.90899999999999</v>
      </c>
      <c r="E179">
        <v>2901.91</v>
      </c>
      <c r="F179">
        <v>590.54499999999996</v>
      </c>
    </row>
    <row r="180" spans="2:6" x14ac:dyDescent="0.3">
      <c r="B180">
        <v>6354.65</v>
      </c>
      <c r="C180">
        <v>498.90899999999999</v>
      </c>
      <c r="E180">
        <v>2918.59</v>
      </c>
      <c r="F180">
        <v>590.54499999999996</v>
      </c>
    </row>
    <row r="181" spans="2:6" x14ac:dyDescent="0.3">
      <c r="B181">
        <v>6388.01</v>
      </c>
      <c r="C181">
        <v>497.45499999999998</v>
      </c>
      <c r="E181">
        <v>2935.27</v>
      </c>
      <c r="F181">
        <v>590.54499999999996</v>
      </c>
    </row>
    <row r="182" spans="2:6" x14ac:dyDescent="0.3">
      <c r="B182">
        <v>6421.37</v>
      </c>
      <c r="C182">
        <v>496.72699999999998</v>
      </c>
      <c r="E182">
        <v>2946.39</v>
      </c>
      <c r="F182">
        <v>590.54499999999996</v>
      </c>
    </row>
    <row r="183" spans="2:6" x14ac:dyDescent="0.3">
      <c r="B183">
        <v>6449.17</v>
      </c>
      <c r="C183">
        <v>496.72699999999998</v>
      </c>
      <c r="E183">
        <v>2963.07</v>
      </c>
      <c r="F183">
        <v>590.54499999999996</v>
      </c>
    </row>
    <row r="184" spans="2:6" x14ac:dyDescent="0.3">
      <c r="B184">
        <v>6476.97</v>
      </c>
      <c r="C184">
        <v>495.27300000000002</v>
      </c>
      <c r="E184">
        <v>2979.75</v>
      </c>
      <c r="F184">
        <v>590.54499999999996</v>
      </c>
    </row>
    <row r="185" spans="2:6" x14ac:dyDescent="0.3">
      <c r="B185">
        <v>6515.89</v>
      </c>
      <c r="C185">
        <v>494.54500000000002</v>
      </c>
      <c r="E185">
        <v>2996.43</v>
      </c>
      <c r="F185">
        <v>590.54499999999996</v>
      </c>
    </row>
    <row r="186" spans="2:6" x14ac:dyDescent="0.3">
      <c r="B186">
        <v>6543.69</v>
      </c>
      <c r="C186">
        <v>494.54500000000002</v>
      </c>
      <c r="E186">
        <v>3013.11</v>
      </c>
      <c r="F186">
        <v>590.54499999999996</v>
      </c>
    </row>
    <row r="187" spans="2:6" x14ac:dyDescent="0.3">
      <c r="B187">
        <v>6577.05</v>
      </c>
      <c r="C187">
        <v>493.09100000000001</v>
      </c>
      <c r="E187">
        <v>3024.23</v>
      </c>
      <c r="F187">
        <v>590.54499999999996</v>
      </c>
    </row>
    <row r="188" spans="2:6" x14ac:dyDescent="0.3">
      <c r="B188">
        <v>6610.41</v>
      </c>
      <c r="C188">
        <v>492.36399999999998</v>
      </c>
      <c r="E188">
        <v>3040.91</v>
      </c>
      <c r="F188">
        <v>590.54499999999996</v>
      </c>
    </row>
    <row r="189" spans="2:6" x14ac:dyDescent="0.3">
      <c r="B189">
        <v>6643.76</v>
      </c>
      <c r="C189">
        <v>491.63600000000002</v>
      </c>
      <c r="E189">
        <v>3163.22</v>
      </c>
      <c r="F189">
        <v>590.54499999999996</v>
      </c>
    </row>
    <row r="190" spans="2:6" x14ac:dyDescent="0.3">
      <c r="B190">
        <v>6682.68</v>
      </c>
      <c r="C190">
        <v>490.18200000000002</v>
      </c>
      <c r="E190">
        <v>3202.14</v>
      </c>
      <c r="F190">
        <v>590.54499999999996</v>
      </c>
    </row>
    <row r="191" spans="2:6" x14ac:dyDescent="0.3">
      <c r="B191">
        <v>6710.48</v>
      </c>
      <c r="C191">
        <v>489.45499999999998</v>
      </c>
      <c r="E191">
        <v>3235.5</v>
      </c>
      <c r="F191">
        <v>590.54499999999996</v>
      </c>
    </row>
    <row r="192" spans="2:6" x14ac:dyDescent="0.3">
      <c r="B192">
        <v>6754.96</v>
      </c>
      <c r="C192">
        <v>488</v>
      </c>
      <c r="E192">
        <v>3274.42</v>
      </c>
      <c r="F192">
        <v>590.54499999999996</v>
      </c>
    </row>
    <row r="193" spans="2:6" x14ac:dyDescent="0.3">
      <c r="B193">
        <v>6782.76</v>
      </c>
      <c r="C193">
        <v>487.27300000000002</v>
      </c>
      <c r="E193">
        <v>3324.46</v>
      </c>
      <c r="F193">
        <v>590.54499999999996</v>
      </c>
    </row>
    <row r="194" spans="2:6" x14ac:dyDescent="0.3">
      <c r="E194">
        <v>3368.94</v>
      </c>
      <c r="F194">
        <v>590.54499999999996</v>
      </c>
    </row>
    <row r="195" spans="2:6" x14ac:dyDescent="0.3">
      <c r="E195">
        <v>3413.42</v>
      </c>
      <c r="F195">
        <v>590.54499999999996</v>
      </c>
    </row>
    <row r="196" spans="2:6" x14ac:dyDescent="0.3">
      <c r="E196">
        <v>3457.9</v>
      </c>
      <c r="F196">
        <v>590.54499999999996</v>
      </c>
    </row>
    <row r="197" spans="2:6" x14ac:dyDescent="0.3">
      <c r="E197">
        <v>3502.38</v>
      </c>
      <c r="F197">
        <v>590.54499999999996</v>
      </c>
    </row>
    <row r="198" spans="2:6" x14ac:dyDescent="0.3">
      <c r="E198">
        <v>3541.3</v>
      </c>
      <c r="F198">
        <v>590.54499999999996</v>
      </c>
    </row>
    <row r="199" spans="2:6" x14ac:dyDescent="0.3">
      <c r="E199">
        <v>3585.78</v>
      </c>
      <c r="F199">
        <v>590.54499999999996</v>
      </c>
    </row>
    <row r="200" spans="2:6" x14ac:dyDescent="0.3">
      <c r="E200">
        <v>3652.5</v>
      </c>
      <c r="F200">
        <v>590.54499999999996</v>
      </c>
    </row>
    <row r="201" spans="2:6" x14ac:dyDescent="0.3">
      <c r="E201">
        <v>3747.02</v>
      </c>
      <c r="F201">
        <v>590.54499999999996</v>
      </c>
    </row>
    <row r="202" spans="2:6" x14ac:dyDescent="0.3">
      <c r="E202">
        <v>3858.22</v>
      </c>
      <c r="F202">
        <v>590.54499999999996</v>
      </c>
    </row>
    <row r="203" spans="2:6" x14ac:dyDescent="0.3">
      <c r="E203">
        <v>3963.86</v>
      </c>
      <c r="F203">
        <v>590.54499999999996</v>
      </c>
    </row>
    <row r="204" spans="2:6" x14ac:dyDescent="0.3">
      <c r="E204">
        <v>4108.42</v>
      </c>
      <c r="F204">
        <v>590.54499999999996</v>
      </c>
    </row>
    <row r="205" spans="2:6" x14ac:dyDescent="0.3">
      <c r="E205">
        <v>4230.74</v>
      </c>
      <c r="F205">
        <v>590.54499999999996</v>
      </c>
    </row>
    <row r="206" spans="2:6" x14ac:dyDescent="0.3">
      <c r="E206">
        <v>4330.82</v>
      </c>
      <c r="F206">
        <v>590.54499999999996</v>
      </c>
    </row>
    <row r="207" spans="2:6" x14ac:dyDescent="0.3">
      <c r="E207">
        <v>4469.82</v>
      </c>
      <c r="F207">
        <v>590.54499999999996</v>
      </c>
    </row>
    <row r="208" spans="2:6" x14ac:dyDescent="0.3">
      <c r="E208">
        <v>4547.66</v>
      </c>
      <c r="F208">
        <v>590.54499999999996</v>
      </c>
    </row>
    <row r="209" spans="5:6" x14ac:dyDescent="0.3">
      <c r="E209">
        <v>4669.9799999999996</v>
      </c>
      <c r="F209">
        <v>590.54499999999996</v>
      </c>
    </row>
    <row r="210" spans="5:6" x14ac:dyDescent="0.3">
      <c r="E210">
        <v>4747.82</v>
      </c>
      <c r="F210">
        <v>590.54499999999996</v>
      </c>
    </row>
    <row r="211" spans="5:6" x14ac:dyDescent="0.3">
      <c r="E211">
        <v>4814.54</v>
      </c>
      <c r="F211">
        <v>590.54499999999996</v>
      </c>
    </row>
    <row r="212" spans="5:6" x14ac:dyDescent="0.3">
      <c r="E212">
        <v>4853.46</v>
      </c>
      <c r="F212">
        <v>590.54499999999996</v>
      </c>
    </row>
    <row r="213" spans="5:6" x14ac:dyDescent="0.3">
      <c r="E213">
        <v>4875.6899999999996</v>
      </c>
      <c r="F213">
        <v>589.57600000000002</v>
      </c>
    </row>
    <row r="214" spans="5:6" x14ac:dyDescent="0.3">
      <c r="E214">
        <v>4897.93</v>
      </c>
      <c r="F214">
        <v>589.57600000000002</v>
      </c>
    </row>
    <row r="215" spans="5:6" x14ac:dyDescent="0.3">
      <c r="E215">
        <v>4920.17</v>
      </c>
      <c r="F215">
        <v>588.60599999999999</v>
      </c>
    </row>
    <row r="216" spans="5:6" x14ac:dyDescent="0.3">
      <c r="E216">
        <v>4947.97</v>
      </c>
      <c r="F216">
        <v>587.63599999999997</v>
      </c>
    </row>
    <row r="217" spans="5:6" x14ac:dyDescent="0.3">
      <c r="E217">
        <v>4975.7700000000004</v>
      </c>
      <c r="F217">
        <v>587.63599999999997</v>
      </c>
    </row>
    <row r="218" spans="5:6" x14ac:dyDescent="0.3">
      <c r="E218">
        <v>4998.01</v>
      </c>
      <c r="F218">
        <v>586.66700000000003</v>
      </c>
    </row>
    <row r="219" spans="5:6" x14ac:dyDescent="0.3">
      <c r="E219">
        <v>5025.8100000000004</v>
      </c>
      <c r="F219">
        <v>585.697</v>
      </c>
    </row>
    <row r="220" spans="5:6" x14ac:dyDescent="0.3">
      <c r="E220">
        <v>5059.17</v>
      </c>
      <c r="F220">
        <v>584.72699999999998</v>
      </c>
    </row>
    <row r="221" spans="5:6" x14ac:dyDescent="0.3">
      <c r="E221">
        <v>5092.53</v>
      </c>
      <c r="F221">
        <v>583.75800000000004</v>
      </c>
    </row>
    <row r="222" spans="5:6" x14ac:dyDescent="0.3">
      <c r="E222">
        <v>5120.33</v>
      </c>
      <c r="F222">
        <v>582.78800000000001</v>
      </c>
    </row>
    <row r="223" spans="5:6" x14ac:dyDescent="0.3">
      <c r="E223">
        <v>5153.6899999999996</v>
      </c>
      <c r="F223">
        <v>581.81799999999998</v>
      </c>
    </row>
    <row r="224" spans="5:6" x14ac:dyDescent="0.3">
      <c r="E224">
        <v>5187.05</v>
      </c>
      <c r="F224">
        <v>580.84799999999996</v>
      </c>
    </row>
    <row r="225" spans="5:6" x14ac:dyDescent="0.3">
      <c r="E225">
        <v>5225.97</v>
      </c>
      <c r="F225">
        <v>579.87900000000002</v>
      </c>
    </row>
    <row r="226" spans="5:6" x14ac:dyDescent="0.3">
      <c r="E226">
        <v>5259.33</v>
      </c>
      <c r="F226">
        <v>578.90899999999999</v>
      </c>
    </row>
    <row r="227" spans="5:6" x14ac:dyDescent="0.3">
      <c r="E227">
        <v>5281.57</v>
      </c>
      <c r="F227">
        <v>578.90899999999999</v>
      </c>
    </row>
    <row r="228" spans="5:6" x14ac:dyDescent="0.3">
      <c r="E228">
        <v>5309.37</v>
      </c>
      <c r="F228">
        <v>577.93899999999996</v>
      </c>
    </row>
    <row r="229" spans="5:6" x14ac:dyDescent="0.3">
      <c r="E229">
        <v>5337.17</v>
      </c>
      <c r="F229">
        <v>576.97</v>
      </c>
    </row>
    <row r="230" spans="5:6" x14ac:dyDescent="0.3">
      <c r="E230">
        <v>5364.97</v>
      </c>
      <c r="F230">
        <v>576.97</v>
      </c>
    </row>
    <row r="231" spans="5:6" x14ac:dyDescent="0.3">
      <c r="E231">
        <v>5398.33</v>
      </c>
      <c r="F231">
        <v>576</v>
      </c>
    </row>
    <row r="232" spans="5:6" x14ac:dyDescent="0.3">
      <c r="E232">
        <v>5431.69</v>
      </c>
      <c r="F232">
        <v>575.03</v>
      </c>
    </row>
    <row r="233" spans="5:6" x14ac:dyDescent="0.3">
      <c r="E233">
        <v>5465.05</v>
      </c>
      <c r="F233">
        <v>574.06100000000004</v>
      </c>
    </row>
    <row r="234" spans="5:6" x14ac:dyDescent="0.3">
      <c r="E234">
        <v>5503.97</v>
      </c>
      <c r="F234">
        <v>574.06100000000004</v>
      </c>
    </row>
    <row r="235" spans="5:6" x14ac:dyDescent="0.3">
      <c r="E235">
        <v>5531.77</v>
      </c>
      <c r="F235">
        <v>573.09100000000001</v>
      </c>
    </row>
    <row r="236" spans="5:6" x14ac:dyDescent="0.3">
      <c r="E236">
        <v>5559.57</v>
      </c>
      <c r="F236">
        <v>572.12099999999998</v>
      </c>
    </row>
    <row r="237" spans="5:6" x14ac:dyDescent="0.3">
      <c r="E237">
        <v>5587.37</v>
      </c>
      <c r="F237">
        <v>572.12099999999998</v>
      </c>
    </row>
    <row r="238" spans="5:6" x14ac:dyDescent="0.3">
      <c r="E238">
        <v>5615.17</v>
      </c>
      <c r="F238">
        <v>571.15200000000004</v>
      </c>
    </row>
    <row r="239" spans="5:6" x14ac:dyDescent="0.3">
      <c r="E239">
        <v>5642.97</v>
      </c>
      <c r="F239">
        <v>571.15200000000004</v>
      </c>
    </row>
    <row r="240" spans="5:6" x14ac:dyDescent="0.3">
      <c r="E240">
        <v>5670.77</v>
      </c>
      <c r="F240">
        <v>570.18200000000002</v>
      </c>
    </row>
    <row r="241" spans="5:6" x14ac:dyDescent="0.3">
      <c r="E241">
        <v>5698.57</v>
      </c>
      <c r="F241">
        <v>570.18200000000002</v>
      </c>
    </row>
    <row r="242" spans="5:6" x14ac:dyDescent="0.3">
      <c r="E242">
        <v>5720.81</v>
      </c>
      <c r="F242">
        <v>569.21199999999999</v>
      </c>
    </row>
    <row r="243" spans="5:6" x14ac:dyDescent="0.3">
      <c r="E243">
        <v>5743.05</v>
      </c>
      <c r="F243">
        <v>569.21199999999999</v>
      </c>
    </row>
    <row r="244" spans="5:6" x14ac:dyDescent="0.3">
      <c r="E244">
        <v>5770.85</v>
      </c>
      <c r="F244">
        <v>568.24199999999996</v>
      </c>
    </row>
    <row r="245" spans="5:6" x14ac:dyDescent="0.3">
      <c r="E245">
        <v>5798.65</v>
      </c>
      <c r="F245">
        <v>568.24199999999996</v>
      </c>
    </row>
    <row r="246" spans="5:6" x14ac:dyDescent="0.3">
      <c r="E246">
        <v>5826.45</v>
      </c>
      <c r="F246">
        <v>567.27300000000002</v>
      </c>
    </row>
    <row r="247" spans="5:6" x14ac:dyDescent="0.3">
      <c r="E247">
        <v>5848.69</v>
      </c>
      <c r="F247">
        <v>566.303</v>
      </c>
    </row>
    <row r="248" spans="5:6" x14ac:dyDescent="0.3">
      <c r="E248">
        <v>5870.93</v>
      </c>
      <c r="F248">
        <v>564.36400000000003</v>
      </c>
    </row>
    <row r="249" spans="5:6" x14ac:dyDescent="0.3">
      <c r="E249">
        <v>5893.17</v>
      </c>
      <c r="F249">
        <v>563.39400000000001</v>
      </c>
    </row>
    <row r="250" spans="5:6" x14ac:dyDescent="0.3">
      <c r="E250">
        <v>5915.41</v>
      </c>
      <c r="F250">
        <v>562.42399999999998</v>
      </c>
    </row>
    <row r="251" spans="5:6" x14ac:dyDescent="0.3">
      <c r="E251">
        <v>5937.65</v>
      </c>
      <c r="F251">
        <v>561.45500000000004</v>
      </c>
    </row>
    <row r="252" spans="5:6" x14ac:dyDescent="0.3">
      <c r="E252">
        <v>5959.89</v>
      </c>
      <c r="F252">
        <v>559.51499999999999</v>
      </c>
    </row>
    <row r="253" spans="5:6" x14ac:dyDescent="0.3">
      <c r="E253">
        <v>5987.69</v>
      </c>
      <c r="F253">
        <v>557.57600000000002</v>
      </c>
    </row>
    <row r="254" spans="5:6" x14ac:dyDescent="0.3">
      <c r="E254">
        <v>6015.49</v>
      </c>
      <c r="F254">
        <v>556.60599999999999</v>
      </c>
    </row>
    <row r="255" spans="5:6" x14ac:dyDescent="0.3">
      <c r="E255">
        <v>6043.29</v>
      </c>
      <c r="F255">
        <v>554.66700000000003</v>
      </c>
    </row>
    <row r="256" spans="5:6" x14ac:dyDescent="0.3">
      <c r="E256">
        <v>6071.09</v>
      </c>
      <c r="F256">
        <v>553.697</v>
      </c>
    </row>
    <row r="257" spans="5:6" x14ac:dyDescent="0.3">
      <c r="E257">
        <v>6098.89</v>
      </c>
      <c r="F257">
        <v>551.75800000000004</v>
      </c>
    </row>
    <row r="258" spans="5:6" x14ac:dyDescent="0.3">
      <c r="E258">
        <v>6126.69</v>
      </c>
      <c r="F258">
        <v>549.81799999999998</v>
      </c>
    </row>
    <row r="259" spans="5:6" x14ac:dyDescent="0.3">
      <c r="E259">
        <v>6148.93</v>
      </c>
      <c r="F259">
        <v>548.84799999999996</v>
      </c>
    </row>
    <row r="260" spans="5:6" x14ac:dyDescent="0.3">
      <c r="E260">
        <v>6176.73</v>
      </c>
      <c r="F260">
        <v>546.90899999999999</v>
      </c>
    </row>
    <row r="261" spans="5:6" x14ac:dyDescent="0.3">
      <c r="E261">
        <v>6204.53</v>
      </c>
      <c r="F261">
        <v>544.97</v>
      </c>
    </row>
    <row r="262" spans="5:6" x14ac:dyDescent="0.3">
      <c r="E262">
        <v>6232.33</v>
      </c>
      <c r="F262">
        <v>544</v>
      </c>
    </row>
    <row r="263" spans="5:6" x14ac:dyDescent="0.3">
      <c r="E263">
        <v>6254.57</v>
      </c>
      <c r="F263">
        <v>543.03</v>
      </c>
    </row>
    <row r="264" spans="5:6" x14ac:dyDescent="0.3">
      <c r="E264">
        <v>6282.37</v>
      </c>
      <c r="F264">
        <v>542.06100000000004</v>
      </c>
    </row>
    <row r="265" spans="5:6" x14ac:dyDescent="0.3">
      <c r="E265">
        <v>6304.61</v>
      </c>
      <c r="F265">
        <v>540.12099999999998</v>
      </c>
    </row>
    <row r="266" spans="5:6" x14ac:dyDescent="0.3">
      <c r="E266">
        <v>6321.29</v>
      </c>
      <c r="F266">
        <v>538.18200000000002</v>
      </c>
    </row>
    <row r="267" spans="5:6" x14ac:dyDescent="0.3">
      <c r="E267">
        <v>6343.53</v>
      </c>
      <c r="F267">
        <v>536.24199999999996</v>
      </c>
    </row>
    <row r="268" spans="5:6" x14ac:dyDescent="0.3">
      <c r="E268">
        <v>6360.21</v>
      </c>
      <c r="F268">
        <v>534.303</v>
      </c>
    </row>
    <row r="269" spans="5:6" x14ac:dyDescent="0.3">
      <c r="E269">
        <v>6376.89</v>
      </c>
      <c r="F269">
        <v>532.36400000000003</v>
      </c>
    </row>
    <row r="270" spans="5:6" x14ac:dyDescent="0.3">
      <c r="E270">
        <v>6399.13</v>
      </c>
      <c r="F270">
        <v>530.42399999999998</v>
      </c>
    </row>
    <row r="271" spans="5:6" x14ac:dyDescent="0.3">
      <c r="E271">
        <v>6426.93</v>
      </c>
      <c r="F271">
        <v>527.51499999999999</v>
      </c>
    </row>
    <row r="272" spans="5:6" x14ac:dyDescent="0.3">
      <c r="E272">
        <v>6443.61</v>
      </c>
      <c r="F272">
        <v>525.57600000000002</v>
      </c>
    </row>
    <row r="273" spans="5:6" x14ac:dyDescent="0.3">
      <c r="E273">
        <v>6465.85</v>
      </c>
      <c r="F273">
        <v>523.63599999999997</v>
      </c>
    </row>
    <row r="274" spans="5:6" x14ac:dyDescent="0.3">
      <c r="E274">
        <v>6488.09</v>
      </c>
      <c r="F274">
        <v>521.697</v>
      </c>
    </row>
    <row r="275" spans="5:6" x14ac:dyDescent="0.3">
      <c r="E275">
        <v>6504.77</v>
      </c>
      <c r="F275">
        <v>520.72699999999998</v>
      </c>
    </row>
    <row r="276" spans="5:6" x14ac:dyDescent="0.3">
      <c r="E276">
        <v>6521.45</v>
      </c>
      <c r="F276">
        <v>518.78800000000001</v>
      </c>
    </row>
    <row r="277" spans="5:6" x14ac:dyDescent="0.3">
      <c r="E277">
        <v>6538.13</v>
      </c>
      <c r="F277">
        <v>516.84799999999996</v>
      </c>
    </row>
    <row r="278" spans="5:6" x14ac:dyDescent="0.3">
      <c r="E278">
        <v>6554.81</v>
      </c>
      <c r="F278">
        <v>514.90899999999999</v>
      </c>
    </row>
    <row r="279" spans="5:6" x14ac:dyDescent="0.3">
      <c r="E279">
        <v>6571.49</v>
      </c>
      <c r="F279">
        <v>512.97</v>
      </c>
    </row>
    <row r="280" spans="5:6" x14ac:dyDescent="0.3">
      <c r="E280">
        <v>6588.17</v>
      </c>
      <c r="F280">
        <v>511.03</v>
      </c>
    </row>
    <row r="281" spans="5:6" x14ac:dyDescent="0.3">
      <c r="E281">
        <v>6604.85</v>
      </c>
      <c r="F281">
        <v>510.06099999999998</v>
      </c>
    </row>
    <row r="282" spans="5:6" x14ac:dyDescent="0.3">
      <c r="E282">
        <v>6621.53</v>
      </c>
      <c r="F282">
        <v>508.12099999999998</v>
      </c>
    </row>
    <row r="283" spans="5:6" x14ac:dyDescent="0.3">
      <c r="E283">
        <v>6638.2</v>
      </c>
      <c r="F283">
        <v>506.18200000000002</v>
      </c>
    </row>
    <row r="284" spans="5:6" x14ac:dyDescent="0.3">
      <c r="E284">
        <v>6654.88</v>
      </c>
      <c r="F284">
        <v>504.24200000000002</v>
      </c>
    </row>
    <row r="285" spans="5:6" x14ac:dyDescent="0.3">
      <c r="E285">
        <v>6671.56</v>
      </c>
      <c r="F285">
        <v>502.303</v>
      </c>
    </row>
    <row r="286" spans="5:6" x14ac:dyDescent="0.3">
      <c r="E286">
        <v>6699.36</v>
      </c>
      <c r="F286">
        <v>500.36399999999998</v>
      </c>
    </row>
    <row r="287" spans="5:6" x14ac:dyDescent="0.3">
      <c r="E287">
        <v>6721.6</v>
      </c>
      <c r="F287">
        <v>497.45499999999998</v>
      </c>
    </row>
    <row r="288" spans="5:6" x14ac:dyDescent="0.3">
      <c r="E288">
        <v>6738.28</v>
      </c>
      <c r="F288">
        <v>495.51499999999999</v>
      </c>
    </row>
    <row r="289" spans="5:6" x14ac:dyDescent="0.3">
      <c r="E289">
        <v>6760.52</v>
      </c>
      <c r="F289">
        <v>494.54500000000002</v>
      </c>
    </row>
    <row r="290" spans="5:6" x14ac:dyDescent="0.3">
      <c r="E290">
        <v>6777.2</v>
      </c>
      <c r="F290">
        <v>492.60599999999999</v>
      </c>
    </row>
    <row r="291" spans="5:6" x14ac:dyDescent="0.3">
      <c r="E291">
        <v>6788.32</v>
      </c>
      <c r="F291">
        <v>490.66699999999997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03651-7B70-4084-9078-DB1601F3A123}">
  <sheetPr codeName="Sheet2"/>
  <dimension ref="B1:T193"/>
  <sheetViews>
    <sheetView topLeftCell="A147" zoomScale="70" zoomScaleNormal="70" workbookViewId="0">
      <selection activeCell="C4" sqref="C4:C177"/>
    </sheetView>
  </sheetViews>
  <sheetFormatPr defaultRowHeight="14.4" x14ac:dyDescent="0.3"/>
  <cols>
    <col min="2" max="2" width="11.21875" bestFit="1" customWidth="1"/>
    <col min="3" max="3" width="21.88671875" customWidth="1"/>
    <col min="4" max="4" width="20.5546875" bestFit="1" customWidth="1"/>
    <col min="5" max="5" width="20.21875" bestFit="1" customWidth="1"/>
    <col min="8" max="8" width="13" bestFit="1" customWidth="1"/>
    <col min="9" max="9" width="13.33203125" bestFit="1" customWidth="1"/>
    <col min="10" max="10" width="9.33203125" bestFit="1" customWidth="1"/>
    <col min="13" max="13" width="11.21875" bestFit="1" customWidth="1"/>
    <col min="19" max="19" width="15.6640625" bestFit="1" customWidth="1"/>
    <col min="20" max="20" width="15.109375" bestFit="1" customWidth="1"/>
    <col min="21" max="21" width="10" bestFit="1" customWidth="1"/>
  </cols>
  <sheetData>
    <row r="1" spans="2:20" x14ac:dyDescent="0.3">
      <c r="E1" s="3"/>
    </row>
    <row r="3" spans="2:20" ht="28.8" x14ac:dyDescent="0.3">
      <c r="B3" s="5" t="s">
        <v>1</v>
      </c>
      <c r="C3" s="5" t="s">
        <v>8</v>
      </c>
      <c r="D3" s="5" t="s">
        <v>9</v>
      </c>
      <c r="E3" s="5" t="s">
        <v>6</v>
      </c>
      <c r="H3" s="7" t="s">
        <v>3</v>
      </c>
      <c r="I3" s="8">
        <v>0.9</v>
      </c>
      <c r="S3" s="5"/>
      <c r="T3" s="5"/>
    </row>
    <row r="4" spans="2:20" x14ac:dyDescent="0.3">
      <c r="B4">
        <v>1000.4</v>
      </c>
      <c r="C4">
        <v>40.7273</v>
      </c>
      <c r="D4">
        <f>C4*$I$3</f>
        <v>36.65457</v>
      </c>
      <c r="E4" s="4">
        <f>0.3268*$I$4*$I$5*2*PI()*$B4/60*3.6</f>
        <v>48.800348141013629</v>
      </c>
      <c r="H4" s="9" t="s">
        <v>4</v>
      </c>
      <c r="I4" s="15">
        <f>1/0.872</f>
        <v>1.1467889908256881</v>
      </c>
      <c r="J4" s="18"/>
      <c r="S4" s="4"/>
    </row>
    <row r="5" spans="2:20" x14ac:dyDescent="0.3">
      <c r="B5">
        <v>1011.52</v>
      </c>
      <c r="C5">
        <v>42.181800000000003</v>
      </c>
      <c r="D5">
        <f t="shared" ref="D5:D68" si="0">C5*$I$3</f>
        <v>37.963620000000006</v>
      </c>
      <c r="E5" s="4">
        <f t="shared" ref="E5:E68" si="1">0.3268*$I$4*$I$5*2*PI()*$B5/60*3.6</f>
        <v>49.342791035184042</v>
      </c>
      <c r="H5" s="11" t="s">
        <v>5</v>
      </c>
      <c r="I5" s="17">
        <v>0.34526499999999999</v>
      </c>
      <c r="S5" s="4"/>
    </row>
    <row r="6" spans="2:20" x14ac:dyDescent="0.3">
      <c r="B6">
        <v>1033.76</v>
      </c>
      <c r="C6">
        <v>44.363599999999998</v>
      </c>
      <c r="D6">
        <f t="shared" si="0"/>
        <v>39.927239999999998</v>
      </c>
      <c r="E6" s="4">
        <f t="shared" si="1"/>
        <v>50.427676823524834</v>
      </c>
      <c r="H6" s="9" t="s">
        <v>13</v>
      </c>
      <c r="I6" s="16" t="s">
        <v>12</v>
      </c>
      <c r="S6" s="4"/>
    </row>
    <row r="7" spans="2:20" x14ac:dyDescent="0.3">
      <c r="B7">
        <v>1050.44</v>
      </c>
      <c r="C7">
        <v>45.818199999999997</v>
      </c>
      <c r="D7">
        <f t="shared" si="0"/>
        <v>41.236379999999997</v>
      </c>
      <c r="E7" s="4">
        <f t="shared" si="1"/>
        <v>51.241341164780451</v>
      </c>
      <c r="S7" s="4"/>
    </row>
    <row r="8" spans="2:20" x14ac:dyDescent="0.3">
      <c r="B8">
        <v>1072.68</v>
      </c>
      <c r="C8">
        <v>48</v>
      </c>
      <c r="D8">
        <f t="shared" si="0"/>
        <v>43.2</v>
      </c>
      <c r="E8" s="4">
        <f t="shared" si="1"/>
        <v>52.326226953121257</v>
      </c>
      <c r="S8" s="4"/>
    </row>
    <row r="9" spans="2:20" x14ac:dyDescent="0.3">
      <c r="B9">
        <v>1089.3599999999999</v>
      </c>
      <c r="C9">
        <v>49.454500000000003</v>
      </c>
      <c r="D9">
        <f t="shared" si="0"/>
        <v>44.509050000000002</v>
      </c>
      <c r="E9" s="4">
        <f t="shared" si="1"/>
        <v>53.139891294376852</v>
      </c>
      <c r="S9" s="4"/>
    </row>
    <row r="10" spans="2:20" x14ac:dyDescent="0.3">
      <c r="B10">
        <v>1106.04</v>
      </c>
      <c r="C10">
        <v>50.909100000000002</v>
      </c>
      <c r="D10">
        <f t="shared" si="0"/>
        <v>45.818190000000001</v>
      </c>
      <c r="E10" s="4">
        <f t="shared" si="1"/>
        <v>53.953555635632455</v>
      </c>
      <c r="S10" s="4"/>
    </row>
    <row r="11" spans="2:20" x14ac:dyDescent="0.3">
      <c r="B11">
        <v>1128.28</v>
      </c>
      <c r="C11">
        <v>53.090899999999998</v>
      </c>
      <c r="D11">
        <f t="shared" si="0"/>
        <v>47.78181</v>
      </c>
      <c r="E11" s="4">
        <f t="shared" si="1"/>
        <v>55.038441423973268</v>
      </c>
      <c r="S11" s="4"/>
    </row>
    <row r="12" spans="2:20" x14ac:dyDescent="0.3">
      <c r="B12">
        <v>1150.52</v>
      </c>
      <c r="C12">
        <v>55.2727</v>
      </c>
      <c r="D12">
        <f t="shared" si="0"/>
        <v>49.745429999999999</v>
      </c>
      <c r="E12" s="4">
        <f t="shared" si="1"/>
        <v>56.123327212314081</v>
      </c>
      <c r="S12" s="4"/>
    </row>
    <row r="13" spans="2:20" x14ac:dyDescent="0.3">
      <c r="B13">
        <v>1167.2</v>
      </c>
      <c r="C13">
        <v>56.7273</v>
      </c>
      <c r="D13">
        <f t="shared" si="0"/>
        <v>51.054569999999998</v>
      </c>
      <c r="E13" s="4">
        <f t="shared" si="1"/>
        <v>56.936991553569683</v>
      </c>
      <c r="S13" s="4"/>
    </row>
    <row r="14" spans="2:20" x14ac:dyDescent="0.3">
      <c r="B14">
        <v>1183.8800000000001</v>
      </c>
      <c r="C14">
        <v>58.181800000000003</v>
      </c>
      <c r="D14">
        <f t="shared" si="0"/>
        <v>52.363620000000004</v>
      </c>
      <c r="E14" s="4">
        <f t="shared" si="1"/>
        <v>57.750655894825293</v>
      </c>
      <c r="S14" s="4"/>
    </row>
    <row r="15" spans="2:20" x14ac:dyDescent="0.3">
      <c r="B15">
        <v>1206.1199999999999</v>
      </c>
      <c r="C15">
        <v>60.363599999999998</v>
      </c>
      <c r="D15">
        <f t="shared" si="0"/>
        <v>54.327239999999996</v>
      </c>
      <c r="E15" s="4">
        <f t="shared" si="1"/>
        <v>58.835541683166099</v>
      </c>
      <c r="S15" s="4"/>
    </row>
    <row r="16" spans="2:20" x14ac:dyDescent="0.3">
      <c r="B16">
        <v>1222.8</v>
      </c>
      <c r="C16">
        <v>62.545499999999997</v>
      </c>
      <c r="D16">
        <f t="shared" si="0"/>
        <v>56.290949999999995</v>
      </c>
      <c r="E16" s="4">
        <f t="shared" si="1"/>
        <v>59.649206024421694</v>
      </c>
      <c r="S16" s="4"/>
    </row>
    <row r="17" spans="2:19" x14ac:dyDescent="0.3">
      <c r="B17">
        <v>1239.48</v>
      </c>
      <c r="C17">
        <v>64</v>
      </c>
      <c r="D17">
        <f t="shared" si="0"/>
        <v>57.6</v>
      </c>
      <c r="E17" s="4">
        <f t="shared" si="1"/>
        <v>60.462870365677304</v>
      </c>
      <c r="S17" s="4"/>
    </row>
    <row r="18" spans="2:19" x14ac:dyDescent="0.3">
      <c r="B18">
        <v>1261.72</v>
      </c>
      <c r="C18">
        <v>65.454499999999996</v>
      </c>
      <c r="D18">
        <f t="shared" si="0"/>
        <v>58.909050000000001</v>
      </c>
      <c r="E18" s="4">
        <f t="shared" si="1"/>
        <v>61.54775615401811</v>
      </c>
      <c r="S18" s="4"/>
    </row>
    <row r="19" spans="2:19" x14ac:dyDescent="0.3">
      <c r="B19">
        <v>1278.4000000000001</v>
      </c>
      <c r="C19">
        <v>67.636399999999995</v>
      </c>
      <c r="D19">
        <f t="shared" si="0"/>
        <v>60.87276</v>
      </c>
      <c r="E19" s="4">
        <f t="shared" si="1"/>
        <v>62.361420495273734</v>
      </c>
      <c r="S19" s="4"/>
    </row>
    <row r="20" spans="2:19" x14ac:dyDescent="0.3">
      <c r="B20">
        <v>1306.2</v>
      </c>
      <c r="C20">
        <v>69.818200000000004</v>
      </c>
      <c r="D20">
        <f t="shared" si="0"/>
        <v>62.836380000000005</v>
      </c>
      <c r="E20" s="4">
        <f t="shared" si="1"/>
        <v>63.717527730699729</v>
      </c>
      <c r="S20" s="4"/>
    </row>
    <row r="21" spans="2:19" x14ac:dyDescent="0.3">
      <c r="B21">
        <v>1334</v>
      </c>
      <c r="C21">
        <v>72.7273</v>
      </c>
      <c r="D21">
        <f t="shared" si="0"/>
        <v>65.454570000000004</v>
      </c>
      <c r="E21" s="4">
        <f t="shared" si="1"/>
        <v>65.073634966125738</v>
      </c>
      <c r="S21" s="4"/>
    </row>
    <row r="22" spans="2:19" x14ac:dyDescent="0.3">
      <c r="B22">
        <v>1361.8</v>
      </c>
      <c r="C22">
        <v>74.909099999999995</v>
      </c>
      <c r="D22">
        <f t="shared" si="0"/>
        <v>67.418189999999996</v>
      </c>
      <c r="E22" s="4">
        <f t="shared" si="1"/>
        <v>66.429742201551747</v>
      </c>
      <c r="S22" s="4"/>
    </row>
    <row r="23" spans="2:19" x14ac:dyDescent="0.3">
      <c r="B23">
        <v>1384.03</v>
      </c>
      <c r="C23">
        <v>77.090900000000005</v>
      </c>
      <c r="D23">
        <f t="shared" si="0"/>
        <v>69.381810000000002</v>
      </c>
      <c r="E23" s="4">
        <f t="shared" si="1"/>
        <v>67.514140181534486</v>
      </c>
      <c r="S23" s="4"/>
    </row>
    <row r="24" spans="2:19" x14ac:dyDescent="0.3">
      <c r="B24">
        <v>1406.27</v>
      </c>
      <c r="C24">
        <v>78.545500000000004</v>
      </c>
      <c r="D24">
        <f t="shared" si="0"/>
        <v>70.690950000000001</v>
      </c>
      <c r="E24" s="4">
        <f t="shared" si="1"/>
        <v>68.599025969875285</v>
      </c>
      <c r="S24" s="4"/>
    </row>
    <row r="25" spans="2:19" x14ac:dyDescent="0.3">
      <c r="B25">
        <v>1422.95</v>
      </c>
      <c r="C25">
        <v>80.7273</v>
      </c>
      <c r="D25">
        <f t="shared" si="0"/>
        <v>72.654570000000007</v>
      </c>
      <c r="E25" s="4">
        <f t="shared" si="1"/>
        <v>69.412690311130902</v>
      </c>
      <c r="S25" s="4"/>
    </row>
    <row r="26" spans="2:19" x14ac:dyDescent="0.3">
      <c r="B26">
        <v>1445.19</v>
      </c>
      <c r="C26">
        <v>82.909099999999995</v>
      </c>
      <c r="D26">
        <f t="shared" si="0"/>
        <v>74.618189999999998</v>
      </c>
      <c r="E26" s="4">
        <f t="shared" si="1"/>
        <v>70.497576099471701</v>
      </c>
      <c r="S26" s="4"/>
    </row>
    <row r="27" spans="2:19" x14ac:dyDescent="0.3">
      <c r="B27">
        <v>1461.87</v>
      </c>
      <c r="C27">
        <v>85.090900000000005</v>
      </c>
      <c r="D27">
        <f t="shared" si="0"/>
        <v>76.581810000000004</v>
      </c>
      <c r="E27" s="4">
        <f t="shared" si="1"/>
        <v>71.311240440727303</v>
      </c>
      <c r="S27" s="4"/>
    </row>
    <row r="28" spans="2:19" x14ac:dyDescent="0.3">
      <c r="B28">
        <v>1484.11</v>
      </c>
      <c r="C28">
        <v>87.2727</v>
      </c>
      <c r="D28">
        <f t="shared" si="0"/>
        <v>78.545429999999996</v>
      </c>
      <c r="E28" s="4">
        <f t="shared" si="1"/>
        <v>72.396126229068116</v>
      </c>
      <c r="S28" s="4"/>
    </row>
    <row r="29" spans="2:19" x14ac:dyDescent="0.3">
      <c r="B29">
        <v>1500.79</v>
      </c>
      <c r="C29">
        <v>89.454499999999996</v>
      </c>
      <c r="D29">
        <f t="shared" si="0"/>
        <v>80.509050000000002</v>
      </c>
      <c r="E29" s="4">
        <f t="shared" si="1"/>
        <v>73.209790570323719</v>
      </c>
      <c r="S29" s="4"/>
    </row>
    <row r="30" spans="2:19" x14ac:dyDescent="0.3">
      <c r="B30">
        <v>1511.91</v>
      </c>
      <c r="C30">
        <v>91.636399999999995</v>
      </c>
      <c r="D30">
        <f t="shared" si="0"/>
        <v>82.472759999999994</v>
      </c>
      <c r="E30" s="4">
        <f t="shared" si="1"/>
        <v>73.752233464494125</v>
      </c>
      <c r="S30" s="4"/>
    </row>
    <row r="31" spans="2:19" x14ac:dyDescent="0.3">
      <c r="B31">
        <v>1534.15</v>
      </c>
      <c r="C31">
        <v>94.545500000000004</v>
      </c>
      <c r="D31">
        <f t="shared" si="0"/>
        <v>85.090950000000007</v>
      </c>
      <c r="E31" s="4">
        <f t="shared" si="1"/>
        <v>74.837119252834938</v>
      </c>
      <c r="S31" s="4"/>
    </row>
    <row r="32" spans="2:19" x14ac:dyDescent="0.3">
      <c r="B32">
        <v>1550.83</v>
      </c>
      <c r="C32">
        <v>96.7273</v>
      </c>
      <c r="D32">
        <f t="shared" si="0"/>
        <v>87.054569999999998</v>
      </c>
      <c r="E32" s="4">
        <f t="shared" si="1"/>
        <v>75.650783594090527</v>
      </c>
      <c r="S32" s="4"/>
    </row>
    <row r="33" spans="2:19" x14ac:dyDescent="0.3">
      <c r="B33">
        <v>1567.51</v>
      </c>
      <c r="C33">
        <v>99.636399999999995</v>
      </c>
      <c r="D33">
        <f t="shared" si="0"/>
        <v>89.672759999999997</v>
      </c>
      <c r="E33" s="4">
        <f t="shared" si="1"/>
        <v>76.464447935346129</v>
      </c>
      <c r="S33" s="4"/>
    </row>
    <row r="34" spans="2:19" x14ac:dyDescent="0.3">
      <c r="B34">
        <v>1584.19</v>
      </c>
      <c r="C34">
        <v>101.818</v>
      </c>
      <c r="D34">
        <f t="shared" si="0"/>
        <v>91.636200000000002</v>
      </c>
      <c r="E34" s="4">
        <f t="shared" si="1"/>
        <v>77.278112276601746</v>
      </c>
      <c r="S34" s="4"/>
    </row>
    <row r="35" spans="2:19" x14ac:dyDescent="0.3">
      <c r="B35">
        <v>1606.43</v>
      </c>
      <c r="C35">
        <v>104.727</v>
      </c>
      <c r="D35">
        <f t="shared" si="0"/>
        <v>94.254300000000001</v>
      </c>
      <c r="E35" s="4">
        <f t="shared" si="1"/>
        <v>78.362998064942559</v>
      </c>
      <c r="S35" s="4"/>
    </row>
    <row r="36" spans="2:19" x14ac:dyDescent="0.3">
      <c r="B36">
        <v>1623.11</v>
      </c>
      <c r="C36">
        <v>107.636</v>
      </c>
      <c r="D36">
        <f t="shared" si="0"/>
        <v>96.872399999999999</v>
      </c>
      <c r="E36" s="4">
        <f t="shared" si="1"/>
        <v>79.176662406198147</v>
      </c>
      <c r="S36" s="4"/>
    </row>
    <row r="37" spans="2:19" x14ac:dyDescent="0.3">
      <c r="B37">
        <v>1639.79</v>
      </c>
      <c r="C37">
        <v>109.818</v>
      </c>
      <c r="D37">
        <f t="shared" si="0"/>
        <v>98.836200000000005</v>
      </c>
      <c r="E37" s="4">
        <f t="shared" si="1"/>
        <v>79.990326747453764</v>
      </c>
      <c r="S37" s="4"/>
    </row>
    <row r="38" spans="2:19" x14ac:dyDescent="0.3">
      <c r="B38">
        <v>1667.59</v>
      </c>
      <c r="C38">
        <v>113.455</v>
      </c>
      <c r="D38">
        <f t="shared" si="0"/>
        <v>102.1095</v>
      </c>
      <c r="E38" s="4">
        <f t="shared" si="1"/>
        <v>81.346433982879759</v>
      </c>
      <c r="S38" s="4"/>
    </row>
    <row r="39" spans="2:19" x14ac:dyDescent="0.3">
      <c r="B39">
        <v>1695.39</v>
      </c>
      <c r="C39">
        <v>117.09099999999999</v>
      </c>
      <c r="D39">
        <f t="shared" si="0"/>
        <v>105.3819</v>
      </c>
      <c r="E39" s="4">
        <f t="shared" si="1"/>
        <v>82.702541218305782</v>
      </c>
      <c r="S39" s="4"/>
    </row>
    <row r="40" spans="2:19" x14ac:dyDescent="0.3">
      <c r="B40">
        <v>1717.63</v>
      </c>
      <c r="C40">
        <v>120.727</v>
      </c>
      <c r="D40">
        <f t="shared" si="0"/>
        <v>108.65430000000001</v>
      </c>
      <c r="E40" s="4">
        <f t="shared" si="1"/>
        <v>83.787427006646595</v>
      </c>
      <c r="S40" s="4"/>
    </row>
    <row r="41" spans="2:19" x14ac:dyDescent="0.3">
      <c r="B41">
        <v>1739.87</v>
      </c>
      <c r="C41">
        <v>123.636</v>
      </c>
      <c r="D41">
        <f t="shared" si="0"/>
        <v>111.2724</v>
      </c>
      <c r="E41" s="4">
        <f t="shared" si="1"/>
        <v>84.87231279498738</v>
      </c>
      <c r="S41" s="4"/>
    </row>
    <row r="42" spans="2:19" x14ac:dyDescent="0.3">
      <c r="B42">
        <v>1762.11</v>
      </c>
      <c r="C42">
        <v>126.545</v>
      </c>
      <c r="D42">
        <f t="shared" si="0"/>
        <v>113.8905</v>
      </c>
      <c r="E42" s="4">
        <f t="shared" si="1"/>
        <v>85.957198583328207</v>
      </c>
      <c r="S42" s="4"/>
    </row>
    <row r="43" spans="2:19" x14ac:dyDescent="0.3">
      <c r="B43">
        <v>1778.79</v>
      </c>
      <c r="C43">
        <v>129.45500000000001</v>
      </c>
      <c r="D43">
        <f t="shared" si="0"/>
        <v>116.50950000000002</v>
      </c>
      <c r="E43" s="4">
        <f t="shared" si="1"/>
        <v>86.77086292458381</v>
      </c>
      <c r="S43" s="4"/>
    </row>
    <row r="44" spans="2:19" x14ac:dyDescent="0.3">
      <c r="B44">
        <v>1795.47</v>
      </c>
      <c r="C44">
        <v>131.636</v>
      </c>
      <c r="D44">
        <f t="shared" si="0"/>
        <v>118.47239999999999</v>
      </c>
      <c r="E44" s="4">
        <f t="shared" si="1"/>
        <v>87.584527265839412</v>
      </c>
      <c r="S44" s="4"/>
    </row>
    <row r="45" spans="2:19" x14ac:dyDescent="0.3">
      <c r="B45">
        <v>1806.59</v>
      </c>
      <c r="C45">
        <v>133.81800000000001</v>
      </c>
      <c r="D45">
        <f t="shared" si="0"/>
        <v>120.43620000000001</v>
      </c>
      <c r="E45" s="4">
        <f t="shared" si="1"/>
        <v>88.12697016000979</v>
      </c>
      <c r="S45" s="4"/>
    </row>
    <row r="46" spans="2:19" x14ac:dyDescent="0.3">
      <c r="B46">
        <v>1817.71</v>
      </c>
      <c r="C46">
        <v>135.273</v>
      </c>
      <c r="D46">
        <f t="shared" si="0"/>
        <v>121.7457</v>
      </c>
      <c r="E46" s="4">
        <f t="shared" si="1"/>
        <v>88.669413054180225</v>
      </c>
      <c r="S46" s="4"/>
    </row>
    <row r="47" spans="2:19" x14ac:dyDescent="0.3">
      <c r="B47">
        <v>1828.83</v>
      </c>
      <c r="C47">
        <v>136.727</v>
      </c>
      <c r="D47">
        <f t="shared" si="0"/>
        <v>123.05430000000001</v>
      </c>
      <c r="E47" s="4">
        <f t="shared" si="1"/>
        <v>89.211855948350617</v>
      </c>
      <c r="S47" s="4"/>
    </row>
    <row r="48" spans="2:19" x14ac:dyDescent="0.3">
      <c r="B48">
        <v>1845.51</v>
      </c>
      <c r="C48">
        <v>138.18199999999999</v>
      </c>
      <c r="D48">
        <f t="shared" si="0"/>
        <v>124.3638</v>
      </c>
      <c r="E48" s="4">
        <f t="shared" si="1"/>
        <v>90.025520289606234</v>
      </c>
      <c r="S48" s="4"/>
    </row>
    <row r="49" spans="2:19" x14ac:dyDescent="0.3">
      <c r="B49">
        <v>1851.07</v>
      </c>
      <c r="C49">
        <v>140.364</v>
      </c>
      <c r="D49">
        <f t="shared" si="0"/>
        <v>126.3276</v>
      </c>
      <c r="E49" s="4">
        <f t="shared" si="1"/>
        <v>90.296741736691416</v>
      </c>
      <c r="S49" s="4"/>
    </row>
    <row r="50" spans="2:19" x14ac:dyDescent="0.3">
      <c r="B50">
        <v>1867.75</v>
      </c>
      <c r="C50">
        <v>142.54499999999999</v>
      </c>
      <c r="D50">
        <f t="shared" si="0"/>
        <v>128.29049999999998</v>
      </c>
      <c r="E50" s="4">
        <f t="shared" si="1"/>
        <v>91.110406077947033</v>
      </c>
      <c r="S50" s="4"/>
    </row>
    <row r="51" spans="2:19" x14ac:dyDescent="0.3">
      <c r="B51">
        <v>1889.99</v>
      </c>
      <c r="C51">
        <v>145.45500000000001</v>
      </c>
      <c r="D51">
        <f t="shared" si="0"/>
        <v>130.90950000000001</v>
      </c>
      <c r="E51" s="4">
        <f t="shared" si="1"/>
        <v>92.195291866287832</v>
      </c>
      <c r="S51" s="4"/>
    </row>
    <row r="52" spans="2:19" x14ac:dyDescent="0.3">
      <c r="B52">
        <v>1906.67</v>
      </c>
      <c r="C52">
        <v>147.636</v>
      </c>
      <c r="D52">
        <f t="shared" si="0"/>
        <v>132.8724</v>
      </c>
      <c r="E52" s="4">
        <f t="shared" si="1"/>
        <v>93.008956207543449</v>
      </c>
      <c r="S52" s="4"/>
    </row>
    <row r="53" spans="2:19" x14ac:dyDescent="0.3">
      <c r="B53">
        <v>1923.35</v>
      </c>
      <c r="C53">
        <v>149.81800000000001</v>
      </c>
      <c r="D53">
        <f t="shared" si="0"/>
        <v>134.83620000000002</v>
      </c>
      <c r="E53" s="4">
        <f t="shared" si="1"/>
        <v>93.822620548799051</v>
      </c>
      <c r="S53" s="4"/>
    </row>
    <row r="54" spans="2:19" x14ac:dyDescent="0.3">
      <c r="B54">
        <v>1945.59</v>
      </c>
      <c r="C54">
        <v>153.45500000000001</v>
      </c>
      <c r="D54">
        <f t="shared" si="0"/>
        <v>138.10950000000003</v>
      </c>
      <c r="E54" s="4">
        <f t="shared" si="1"/>
        <v>94.90750633713985</v>
      </c>
      <c r="S54" s="4"/>
    </row>
    <row r="55" spans="2:19" x14ac:dyDescent="0.3">
      <c r="B55">
        <v>1956.71</v>
      </c>
      <c r="C55">
        <v>154.90899999999999</v>
      </c>
      <c r="D55">
        <f t="shared" si="0"/>
        <v>139.41810000000001</v>
      </c>
      <c r="E55" s="4">
        <f t="shared" si="1"/>
        <v>95.449949231310256</v>
      </c>
      <c r="S55" s="4"/>
    </row>
    <row r="56" spans="2:19" x14ac:dyDescent="0.3">
      <c r="B56">
        <v>1973.39</v>
      </c>
      <c r="C56">
        <v>157.09100000000001</v>
      </c>
      <c r="D56">
        <f t="shared" si="0"/>
        <v>141.3819</v>
      </c>
      <c r="E56" s="4">
        <f t="shared" si="1"/>
        <v>96.263613572565873</v>
      </c>
      <c r="S56" s="4"/>
    </row>
    <row r="57" spans="2:19" x14ac:dyDescent="0.3">
      <c r="B57">
        <v>1984.51</v>
      </c>
      <c r="C57">
        <v>158.54499999999999</v>
      </c>
      <c r="D57">
        <f t="shared" si="0"/>
        <v>142.69049999999999</v>
      </c>
      <c r="E57" s="4">
        <f t="shared" si="1"/>
        <v>96.806056466736266</v>
      </c>
      <c r="S57" s="4"/>
    </row>
    <row r="58" spans="2:19" x14ac:dyDescent="0.3">
      <c r="B58">
        <v>2001.19</v>
      </c>
      <c r="C58">
        <v>160</v>
      </c>
      <c r="D58">
        <f t="shared" si="0"/>
        <v>144</v>
      </c>
      <c r="E58" s="4">
        <f t="shared" si="1"/>
        <v>97.619720807991882</v>
      </c>
      <c r="S58" s="4"/>
    </row>
    <row r="59" spans="2:19" x14ac:dyDescent="0.3">
      <c r="B59">
        <v>2017.87</v>
      </c>
      <c r="C59">
        <v>162.18199999999999</v>
      </c>
      <c r="D59">
        <f t="shared" si="0"/>
        <v>145.96379999999999</v>
      </c>
      <c r="E59" s="4">
        <f t="shared" si="1"/>
        <v>98.433385149247471</v>
      </c>
      <c r="S59" s="4"/>
    </row>
    <row r="60" spans="2:19" x14ac:dyDescent="0.3">
      <c r="B60">
        <v>2034.55</v>
      </c>
      <c r="C60">
        <v>164.364</v>
      </c>
      <c r="D60">
        <f t="shared" si="0"/>
        <v>147.92760000000001</v>
      </c>
      <c r="E60" s="4">
        <f t="shared" si="1"/>
        <v>99.247049490503073</v>
      </c>
      <c r="S60" s="4"/>
    </row>
    <row r="61" spans="2:19" x14ac:dyDescent="0.3">
      <c r="B61">
        <v>2051.23</v>
      </c>
      <c r="C61">
        <v>165.81800000000001</v>
      </c>
      <c r="D61">
        <f t="shared" si="0"/>
        <v>149.23620000000003</v>
      </c>
      <c r="E61" s="4">
        <f t="shared" si="1"/>
        <v>100.06071383175869</v>
      </c>
      <c r="S61" s="4"/>
    </row>
    <row r="62" spans="2:19" x14ac:dyDescent="0.3">
      <c r="B62">
        <v>2067.91</v>
      </c>
      <c r="C62">
        <v>168</v>
      </c>
      <c r="D62">
        <f t="shared" si="0"/>
        <v>151.20000000000002</v>
      </c>
      <c r="E62" s="4">
        <f t="shared" si="1"/>
        <v>100.87437817301428</v>
      </c>
      <c r="S62" s="4"/>
    </row>
    <row r="63" spans="2:19" x14ac:dyDescent="0.3">
      <c r="B63">
        <v>2084.59</v>
      </c>
      <c r="C63">
        <v>169.45500000000001</v>
      </c>
      <c r="D63">
        <f t="shared" si="0"/>
        <v>152.5095</v>
      </c>
      <c r="E63" s="4">
        <f t="shared" si="1"/>
        <v>101.68804251426991</v>
      </c>
      <c r="S63" s="4"/>
    </row>
    <row r="64" spans="2:19" x14ac:dyDescent="0.3">
      <c r="B64">
        <v>2106.83</v>
      </c>
      <c r="C64">
        <v>172.364</v>
      </c>
      <c r="D64">
        <f t="shared" si="0"/>
        <v>155.1276</v>
      </c>
      <c r="E64" s="4">
        <f t="shared" si="1"/>
        <v>102.77292830261069</v>
      </c>
      <c r="S64" s="4"/>
    </row>
    <row r="65" spans="2:19" x14ac:dyDescent="0.3">
      <c r="B65">
        <v>2123.5100000000002</v>
      </c>
      <c r="C65">
        <v>174.54499999999999</v>
      </c>
      <c r="D65">
        <f t="shared" si="0"/>
        <v>157.09049999999999</v>
      </c>
      <c r="E65" s="4">
        <f t="shared" si="1"/>
        <v>103.58659264386633</v>
      </c>
      <c r="S65" s="4"/>
    </row>
    <row r="66" spans="2:19" x14ac:dyDescent="0.3">
      <c r="B66">
        <v>2145.75</v>
      </c>
      <c r="C66">
        <v>176.727</v>
      </c>
      <c r="D66">
        <f t="shared" si="0"/>
        <v>159.05430000000001</v>
      </c>
      <c r="E66" s="4">
        <f t="shared" si="1"/>
        <v>104.67147843220712</v>
      </c>
      <c r="S66" s="4"/>
    </row>
    <row r="67" spans="2:19" x14ac:dyDescent="0.3">
      <c r="B67">
        <v>2167.9899999999998</v>
      </c>
      <c r="C67">
        <v>179.636</v>
      </c>
      <c r="D67">
        <f t="shared" si="0"/>
        <v>161.67240000000001</v>
      </c>
      <c r="E67" s="4">
        <f t="shared" si="1"/>
        <v>105.75636422054791</v>
      </c>
      <c r="S67" s="4"/>
    </row>
    <row r="68" spans="2:19" x14ac:dyDescent="0.3">
      <c r="B68">
        <v>2195.79</v>
      </c>
      <c r="C68">
        <v>181.81800000000001</v>
      </c>
      <c r="D68">
        <f t="shared" si="0"/>
        <v>163.6362</v>
      </c>
      <c r="E68" s="4">
        <f t="shared" si="1"/>
        <v>107.11247145597393</v>
      </c>
      <c r="S68" s="4"/>
    </row>
    <row r="69" spans="2:19" x14ac:dyDescent="0.3">
      <c r="B69">
        <v>2206.91</v>
      </c>
      <c r="C69">
        <v>184</v>
      </c>
      <c r="D69">
        <f t="shared" ref="D69:D132" si="2">C69*$I$3</f>
        <v>165.6</v>
      </c>
      <c r="E69" s="4">
        <f t="shared" ref="E69:E132" si="3">0.3268*$I$4*$I$5*2*PI()*$B69/60*3.6</f>
        <v>107.65491435014432</v>
      </c>
      <c r="S69" s="4"/>
    </row>
    <row r="70" spans="2:19" x14ac:dyDescent="0.3">
      <c r="B70">
        <v>2223.59</v>
      </c>
      <c r="C70">
        <v>186.18199999999999</v>
      </c>
      <c r="D70">
        <f t="shared" si="2"/>
        <v>167.56379999999999</v>
      </c>
      <c r="E70" s="4">
        <f t="shared" si="3"/>
        <v>108.46857869139996</v>
      </c>
      <c r="S70" s="4"/>
    </row>
    <row r="71" spans="2:19" x14ac:dyDescent="0.3">
      <c r="B71">
        <v>2240.27</v>
      </c>
      <c r="C71">
        <v>187.636</v>
      </c>
      <c r="D71">
        <f t="shared" si="2"/>
        <v>168.8724</v>
      </c>
      <c r="E71" s="4">
        <f t="shared" si="3"/>
        <v>109.28224303265554</v>
      </c>
      <c r="S71" s="4"/>
    </row>
    <row r="72" spans="2:19" x14ac:dyDescent="0.3">
      <c r="B72">
        <v>2262.5100000000002</v>
      </c>
      <c r="C72">
        <v>189.81800000000001</v>
      </c>
      <c r="D72">
        <f t="shared" si="2"/>
        <v>170.83620000000002</v>
      </c>
      <c r="E72" s="4">
        <f t="shared" si="3"/>
        <v>110.36712882099637</v>
      </c>
      <c r="S72" s="4"/>
    </row>
    <row r="73" spans="2:19" x14ac:dyDescent="0.3">
      <c r="B73">
        <v>2290.31</v>
      </c>
      <c r="C73">
        <v>193.45500000000001</v>
      </c>
      <c r="D73">
        <f t="shared" si="2"/>
        <v>174.10950000000003</v>
      </c>
      <c r="E73" s="4">
        <f t="shared" si="3"/>
        <v>111.72323605642235</v>
      </c>
      <c r="S73" s="4"/>
    </row>
    <row r="74" spans="2:19" x14ac:dyDescent="0.3">
      <c r="B74">
        <v>2312.5500000000002</v>
      </c>
      <c r="C74">
        <v>196.364</v>
      </c>
      <c r="D74">
        <f t="shared" si="2"/>
        <v>176.7276</v>
      </c>
      <c r="E74" s="4">
        <f t="shared" si="3"/>
        <v>112.80812184476318</v>
      </c>
      <c r="S74" s="4"/>
    </row>
    <row r="75" spans="2:19" x14ac:dyDescent="0.3">
      <c r="B75">
        <v>2345.91</v>
      </c>
      <c r="C75">
        <v>199.273</v>
      </c>
      <c r="D75">
        <f t="shared" si="2"/>
        <v>179.34569999999999</v>
      </c>
      <c r="E75" s="4">
        <f t="shared" si="3"/>
        <v>114.43545052727436</v>
      </c>
      <c r="S75" s="4"/>
    </row>
    <row r="76" spans="2:19" x14ac:dyDescent="0.3">
      <c r="B76">
        <v>2368.15</v>
      </c>
      <c r="C76">
        <v>202.18199999999999</v>
      </c>
      <c r="D76">
        <f t="shared" si="2"/>
        <v>181.96379999999999</v>
      </c>
      <c r="E76" s="4">
        <f t="shared" si="3"/>
        <v>115.52033631561518</v>
      </c>
      <c r="S76" s="4"/>
    </row>
    <row r="77" spans="2:19" x14ac:dyDescent="0.3">
      <c r="B77">
        <v>2390.39</v>
      </c>
      <c r="C77">
        <v>204.364</v>
      </c>
      <c r="D77">
        <f t="shared" si="2"/>
        <v>183.92760000000001</v>
      </c>
      <c r="E77" s="4">
        <f t="shared" si="3"/>
        <v>116.60522210395598</v>
      </c>
      <c r="S77" s="4"/>
    </row>
    <row r="78" spans="2:19" x14ac:dyDescent="0.3">
      <c r="B78">
        <v>2407.0700000000002</v>
      </c>
      <c r="C78">
        <v>206.54499999999999</v>
      </c>
      <c r="D78">
        <f t="shared" si="2"/>
        <v>185.8905</v>
      </c>
      <c r="E78" s="4">
        <f t="shared" si="3"/>
        <v>117.41888644521161</v>
      </c>
      <c r="S78" s="4"/>
    </row>
    <row r="79" spans="2:19" x14ac:dyDescent="0.3">
      <c r="B79">
        <v>2423.75</v>
      </c>
      <c r="C79">
        <v>208.727</v>
      </c>
      <c r="D79">
        <f t="shared" si="2"/>
        <v>187.85429999999999</v>
      </c>
      <c r="E79" s="4">
        <f t="shared" si="3"/>
        <v>118.2325507864672</v>
      </c>
      <c r="S79" s="4"/>
    </row>
    <row r="80" spans="2:19" x14ac:dyDescent="0.3">
      <c r="B80">
        <v>2445.9899999999998</v>
      </c>
      <c r="C80">
        <v>210.90899999999999</v>
      </c>
      <c r="D80">
        <f t="shared" si="2"/>
        <v>189.81809999999999</v>
      </c>
      <c r="E80" s="4">
        <f t="shared" si="3"/>
        <v>119.31743657480801</v>
      </c>
      <c r="S80" s="4"/>
    </row>
    <row r="81" spans="2:19" x14ac:dyDescent="0.3">
      <c r="B81">
        <v>2479.35</v>
      </c>
      <c r="C81">
        <v>213.81800000000001</v>
      </c>
      <c r="D81">
        <f t="shared" si="2"/>
        <v>192.43620000000001</v>
      </c>
      <c r="E81" s="4">
        <f t="shared" si="3"/>
        <v>120.9447652573192</v>
      </c>
      <c r="S81" s="4"/>
    </row>
    <row r="82" spans="2:19" x14ac:dyDescent="0.3">
      <c r="B82">
        <v>2518.27</v>
      </c>
      <c r="C82">
        <v>216.727</v>
      </c>
      <c r="D82">
        <f t="shared" si="2"/>
        <v>195.05430000000001</v>
      </c>
      <c r="E82" s="4">
        <f t="shared" si="3"/>
        <v>122.84331538691563</v>
      </c>
      <c r="S82" s="4"/>
    </row>
    <row r="83" spans="2:19" x14ac:dyDescent="0.3">
      <c r="B83">
        <v>2551.63</v>
      </c>
      <c r="C83">
        <v>220.364</v>
      </c>
      <c r="D83">
        <f t="shared" si="2"/>
        <v>198.32760000000002</v>
      </c>
      <c r="E83" s="4">
        <f t="shared" si="3"/>
        <v>124.47064406942685</v>
      </c>
      <c r="S83" s="4"/>
    </row>
    <row r="84" spans="2:19" x14ac:dyDescent="0.3">
      <c r="B84">
        <v>2590.5500000000002</v>
      </c>
      <c r="C84">
        <v>223.273</v>
      </c>
      <c r="D84">
        <f t="shared" si="2"/>
        <v>200.94569999999999</v>
      </c>
      <c r="E84" s="4">
        <f t="shared" si="3"/>
        <v>126.36919419902326</v>
      </c>
      <c r="S84" s="4"/>
    </row>
    <row r="85" spans="2:19" x14ac:dyDescent="0.3">
      <c r="B85">
        <v>2623.91</v>
      </c>
      <c r="C85">
        <v>226.18199999999999</v>
      </c>
      <c r="D85">
        <f t="shared" si="2"/>
        <v>203.56379999999999</v>
      </c>
      <c r="E85" s="4">
        <f t="shared" si="3"/>
        <v>127.99652288153445</v>
      </c>
      <c r="S85" s="4"/>
    </row>
    <row r="86" spans="2:19" x14ac:dyDescent="0.3">
      <c r="B86">
        <v>2662.83</v>
      </c>
      <c r="C86">
        <v>229.81800000000001</v>
      </c>
      <c r="D86">
        <f t="shared" si="2"/>
        <v>206.83620000000002</v>
      </c>
      <c r="E86" s="4">
        <f t="shared" si="3"/>
        <v>129.89507301113088</v>
      </c>
      <c r="S86" s="4"/>
    </row>
    <row r="87" spans="2:19" x14ac:dyDescent="0.3">
      <c r="B87">
        <v>2701.75</v>
      </c>
      <c r="C87">
        <v>233.45500000000001</v>
      </c>
      <c r="D87">
        <f t="shared" si="2"/>
        <v>210.10950000000003</v>
      </c>
      <c r="E87" s="4">
        <f t="shared" si="3"/>
        <v>131.79362314072728</v>
      </c>
      <c r="S87" s="4"/>
    </row>
    <row r="88" spans="2:19" x14ac:dyDescent="0.3">
      <c r="B88">
        <v>2751.79</v>
      </c>
      <c r="C88">
        <v>237.09100000000001</v>
      </c>
      <c r="D88">
        <f t="shared" si="2"/>
        <v>213.3819</v>
      </c>
      <c r="E88" s="4">
        <f t="shared" si="3"/>
        <v>134.23461616449413</v>
      </c>
      <c r="S88" s="4"/>
    </row>
    <row r="89" spans="2:19" x14ac:dyDescent="0.3">
      <c r="B89">
        <v>2796.27</v>
      </c>
      <c r="C89">
        <v>240.727</v>
      </c>
      <c r="D89">
        <f t="shared" si="2"/>
        <v>216.65430000000001</v>
      </c>
      <c r="E89" s="4">
        <f t="shared" si="3"/>
        <v>136.4043877411757</v>
      </c>
      <c r="S89" s="4"/>
    </row>
    <row r="90" spans="2:19" x14ac:dyDescent="0.3">
      <c r="B90">
        <v>2835.19</v>
      </c>
      <c r="C90">
        <v>244.364</v>
      </c>
      <c r="D90">
        <f t="shared" si="2"/>
        <v>219.92760000000001</v>
      </c>
      <c r="E90" s="4">
        <f t="shared" si="3"/>
        <v>138.30293787077213</v>
      </c>
      <c r="S90" s="4"/>
    </row>
    <row r="91" spans="2:19" x14ac:dyDescent="0.3">
      <c r="B91">
        <v>2868.55</v>
      </c>
      <c r="C91">
        <v>247.273</v>
      </c>
      <c r="D91">
        <f t="shared" si="2"/>
        <v>222.54570000000001</v>
      </c>
      <c r="E91" s="4">
        <f t="shared" si="3"/>
        <v>139.93026655328333</v>
      </c>
      <c r="S91" s="4"/>
    </row>
    <row r="92" spans="2:19" x14ac:dyDescent="0.3">
      <c r="B92">
        <v>2890.79</v>
      </c>
      <c r="C92">
        <v>249.45500000000001</v>
      </c>
      <c r="D92">
        <f t="shared" si="2"/>
        <v>224.5095</v>
      </c>
      <c r="E92" s="4">
        <f t="shared" si="3"/>
        <v>141.01515234162414</v>
      </c>
      <c r="S92" s="4"/>
    </row>
    <row r="93" spans="2:19" x14ac:dyDescent="0.3">
      <c r="B93">
        <v>2924.15</v>
      </c>
      <c r="C93">
        <v>252.364</v>
      </c>
      <c r="D93">
        <f t="shared" si="2"/>
        <v>227.1276</v>
      </c>
      <c r="E93" s="4">
        <f t="shared" si="3"/>
        <v>142.64248102413538</v>
      </c>
      <c r="S93" s="4"/>
    </row>
    <row r="94" spans="2:19" x14ac:dyDescent="0.3">
      <c r="B94">
        <v>2963.07</v>
      </c>
      <c r="C94">
        <v>255.273</v>
      </c>
      <c r="D94">
        <f t="shared" si="2"/>
        <v>229.7457</v>
      </c>
      <c r="E94" s="4">
        <f t="shared" si="3"/>
        <v>144.54103115373178</v>
      </c>
      <c r="S94" s="4"/>
    </row>
    <row r="95" spans="2:19" x14ac:dyDescent="0.3">
      <c r="B95">
        <v>3013.11</v>
      </c>
      <c r="C95">
        <v>258.90899999999999</v>
      </c>
      <c r="D95">
        <f t="shared" si="2"/>
        <v>233.0181</v>
      </c>
      <c r="E95" s="4">
        <f t="shared" si="3"/>
        <v>146.9820241774986</v>
      </c>
      <c r="S95" s="4"/>
    </row>
    <row r="96" spans="2:19" x14ac:dyDescent="0.3">
      <c r="B96">
        <v>3040.91</v>
      </c>
      <c r="C96">
        <v>262.54500000000002</v>
      </c>
      <c r="D96">
        <f t="shared" si="2"/>
        <v>236.29050000000001</v>
      </c>
      <c r="E96" s="4">
        <f t="shared" si="3"/>
        <v>148.33813141292458</v>
      </c>
      <c r="S96" s="4"/>
    </row>
    <row r="97" spans="2:19" x14ac:dyDescent="0.3">
      <c r="B97">
        <v>3085.39</v>
      </c>
      <c r="C97">
        <v>266.18200000000002</v>
      </c>
      <c r="D97">
        <f t="shared" si="2"/>
        <v>239.56380000000001</v>
      </c>
      <c r="E97" s="4">
        <f t="shared" si="3"/>
        <v>150.50790298960621</v>
      </c>
      <c r="S97" s="4"/>
    </row>
    <row r="98" spans="2:19" x14ac:dyDescent="0.3">
      <c r="B98">
        <v>3129.86</v>
      </c>
      <c r="C98">
        <v>269.81799999999998</v>
      </c>
      <c r="D98">
        <f t="shared" si="2"/>
        <v>242.83619999999999</v>
      </c>
      <c r="E98" s="4">
        <f t="shared" si="3"/>
        <v>152.67718675792975</v>
      </c>
      <c r="S98" s="4"/>
    </row>
    <row r="99" spans="2:19" x14ac:dyDescent="0.3">
      <c r="B99">
        <v>3168.78</v>
      </c>
      <c r="C99">
        <v>273.45499999999998</v>
      </c>
      <c r="D99">
        <f t="shared" si="2"/>
        <v>246.1095</v>
      </c>
      <c r="E99" s="4">
        <f t="shared" si="3"/>
        <v>154.57573688752615</v>
      </c>
      <c r="S99" s="4"/>
    </row>
    <row r="100" spans="2:19" x14ac:dyDescent="0.3">
      <c r="B100">
        <v>3207.7</v>
      </c>
      <c r="C100">
        <v>276.36399999999998</v>
      </c>
      <c r="D100">
        <f t="shared" si="2"/>
        <v>248.7276</v>
      </c>
      <c r="E100" s="4">
        <f t="shared" si="3"/>
        <v>156.47428701712255</v>
      </c>
      <c r="S100" s="4"/>
    </row>
    <row r="101" spans="2:19" x14ac:dyDescent="0.3">
      <c r="B101">
        <v>3252.18</v>
      </c>
      <c r="C101">
        <v>280.72699999999998</v>
      </c>
      <c r="D101">
        <f t="shared" si="2"/>
        <v>252.65429999999998</v>
      </c>
      <c r="E101" s="4">
        <f t="shared" si="3"/>
        <v>158.6440585938042</v>
      </c>
      <c r="S101" s="4"/>
    </row>
    <row r="102" spans="2:19" x14ac:dyDescent="0.3">
      <c r="B102">
        <v>3296.66</v>
      </c>
      <c r="C102">
        <v>284.36399999999998</v>
      </c>
      <c r="D102">
        <f t="shared" si="2"/>
        <v>255.92759999999998</v>
      </c>
      <c r="E102" s="4">
        <f t="shared" si="3"/>
        <v>160.8138301704858</v>
      </c>
      <c r="S102" s="4"/>
    </row>
    <row r="103" spans="2:19" x14ac:dyDescent="0.3">
      <c r="B103">
        <v>3346.7</v>
      </c>
      <c r="C103">
        <v>288.72699999999998</v>
      </c>
      <c r="D103">
        <f t="shared" si="2"/>
        <v>259.85429999999997</v>
      </c>
      <c r="E103" s="4">
        <f t="shared" si="3"/>
        <v>163.25482319425262</v>
      </c>
      <c r="S103" s="4"/>
    </row>
    <row r="104" spans="2:19" x14ac:dyDescent="0.3">
      <c r="B104">
        <v>3391.18</v>
      </c>
      <c r="C104">
        <v>293.09100000000001</v>
      </c>
      <c r="D104">
        <f t="shared" si="2"/>
        <v>263.78190000000001</v>
      </c>
      <c r="E104" s="4">
        <f t="shared" si="3"/>
        <v>165.42459477093422</v>
      </c>
      <c r="S104" s="4"/>
    </row>
    <row r="105" spans="2:19" x14ac:dyDescent="0.3">
      <c r="B105">
        <v>3430.1</v>
      </c>
      <c r="C105">
        <v>296</v>
      </c>
      <c r="D105">
        <f t="shared" si="2"/>
        <v>266.40000000000003</v>
      </c>
      <c r="E105" s="4">
        <f t="shared" si="3"/>
        <v>167.32314490053062</v>
      </c>
      <c r="S105" s="4"/>
    </row>
    <row r="106" spans="2:19" x14ac:dyDescent="0.3">
      <c r="B106">
        <v>3480.14</v>
      </c>
      <c r="C106">
        <v>300.36399999999998</v>
      </c>
      <c r="D106">
        <f t="shared" si="2"/>
        <v>270.32759999999996</v>
      </c>
      <c r="E106" s="4">
        <f t="shared" si="3"/>
        <v>169.76413792429747</v>
      </c>
      <c r="S106" s="4"/>
    </row>
    <row r="107" spans="2:19" x14ac:dyDescent="0.3">
      <c r="B107">
        <v>3513.5</v>
      </c>
      <c r="C107">
        <v>303.27300000000002</v>
      </c>
      <c r="D107">
        <f t="shared" si="2"/>
        <v>272.94570000000004</v>
      </c>
      <c r="E107" s="4">
        <f t="shared" si="3"/>
        <v>171.39146660680868</v>
      </c>
      <c r="S107" s="4"/>
    </row>
    <row r="108" spans="2:19" x14ac:dyDescent="0.3">
      <c r="B108">
        <v>3557.98</v>
      </c>
      <c r="C108">
        <v>307.63600000000002</v>
      </c>
      <c r="D108">
        <f t="shared" si="2"/>
        <v>276.87240000000003</v>
      </c>
      <c r="E108" s="4">
        <f t="shared" si="3"/>
        <v>173.5612381834903</v>
      </c>
      <c r="S108" s="4"/>
    </row>
    <row r="109" spans="2:19" x14ac:dyDescent="0.3">
      <c r="B109">
        <v>3596.9</v>
      </c>
      <c r="C109">
        <v>310.54500000000002</v>
      </c>
      <c r="D109">
        <f t="shared" si="2"/>
        <v>279.4905</v>
      </c>
      <c r="E109" s="4">
        <f t="shared" si="3"/>
        <v>175.4597883130867</v>
      </c>
      <c r="S109" s="4"/>
    </row>
    <row r="110" spans="2:19" x14ac:dyDescent="0.3">
      <c r="B110">
        <v>3641.38</v>
      </c>
      <c r="C110">
        <v>314.90899999999999</v>
      </c>
      <c r="D110">
        <f t="shared" si="2"/>
        <v>283.41809999999998</v>
      </c>
      <c r="E110" s="4">
        <f t="shared" si="3"/>
        <v>177.6295598897683</v>
      </c>
      <c r="S110" s="4"/>
    </row>
    <row r="111" spans="2:19" x14ac:dyDescent="0.3">
      <c r="B111">
        <v>3680.3</v>
      </c>
      <c r="C111">
        <v>318.54500000000002</v>
      </c>
      <c r="D111">
        <f t="shared" si="2"/>
        <v>286.69050000000004</v>
      </c>
      <c r="E111" s="4">
        <f t="shared" si="3"/>
        <v>179.52811001936473</v>
      </c>
      <c r="S111" s="4"/>
    </row>
    <row r="112" spans="2:19" x14ac:dyDescent="0.3">
      <c r="B112">
        <v>3708.1</v>
      </c>
      <c r="C112">
        <v>320.72699999999998</v>
      </c>
      <c r="D112">
        <f t="shared" si="2"/>
        <v>288.65429999999998</v>
      </c>
      <c r="E112" s="4">
        <f t="shared" si="3"/>
        <v>180.88421725479071</v>
      </c>
      <c r="S112" s="4"/>
    </row>
    <row r="113" spans="2:19" x14ac:dyDescent="0.3">
      <c r="B113">
        <v>3724.78</v>
      </c>
      <c r="C113">
        <v>322.18200000000002</v>
      </c>
      <c r="D113">
        <f t="shared" si="2"/>
        <v>289.96380000000005</v>
      </c>
      <c r="E113" s="4">
        <f t="shared" si="3"/>
        <v>181.69788159604636</v>
      </c>
      <c r="S113" s="4"/>
    </row>
    <row r="114" spans="2:19" x14ac:dyDescent="0.3">
      <c r="B114">
        <v>3752.58</v>
      </c>
      <c r="C114">
        <v>325.09100000000001</v>
      </c>
      <c r="D114">
        <f t="shared" si="2"/>
        <v>292.58190000000002</v>
      </c>
      <c r="E114" s="4">
        <f t="shared" si="3"/>
        <v>183.05398883147234</v>
      </c>
      <c r="S114" s="4"/>
    </row>
    <row r="115" spans="2:19" x14ac:dyDescent="0.3">
      <c r="B115">
        <v>3791.5</v>
      </c>
      <c r="C115">
        <v>328</v>
      </c>
      <c r="D115">
        <f t="shared" si="2"/>
        <v>295.2</v>
      </c>
      <c r="E115" s="4">
        <f t="shared" si="3"/>
        <v>184.95253896106877</v>
      </c>
      <c r="S115" s="4"/>
    </row>
    <row r="116" spans="2:19" x14ac:dyDescent="0.3">
      <c r="B116">
        <v>3813.74</v>
      </c>
      <c r="C116">
        <v>330.18200000000002</v>
      </c>
      <c r="D116">
        <f t="shared" si="2"/>
        <v>297.16380000000004</v>
      </c>
      <c r="E116" s="4">
        <f t="shared" si="3"/>
        <v>186.03742474940952</v>
      </c>
      <c r="S116" s="4"/>
    </row>
    <row r="117" spans="2:19" x14ac:dyDescent="0.3">
      <c r="B117">
        <v>3847.1</v>
      </c>
      <c r="C117">
        <v>333.09100000000001</v>
      </c>
      <c r="D117">
        <f t="shared" si="2"/>
        <v>299.78190000000001</v>
      </c>
      <c r="E117" s="4">
        <f t="shared" si="3"/>
        <v>187.66475343192076</v>
      </c>
      <c r="S117" s="4"/>
    </row>
    <row r="118" spans="2:19" x14ac:dyDescent="0.3">
      <c r="B118">
        <v>3891.58</v>
      </c>
      <c r="C118">
        <v>337.45499999999998</v>
      </c>
      <c r="D118">
        <f t="shared" si="2"/>
        <v>303.70949999999999</v>
      </c>
      <c r="E118" s="4">
        <f t="shared" si="3"/>
        <v>189.83452500860236</v>
      </c>
      <c r="S118" s="4"/>
    </row>
    <row r="119" spans="2:19" x14ac:dyDescent="0.3">
      <c r="B119">
        <v>3941.62</v>
      </c>
      <c r="C119">
        <v>341.81799999999998</v>
      </c>
      <c r="D119">
        <f t="shared" si="2"/>
        <v>307.63619999999997</v>
      </c>
      <c r="E119" s="4">
        <f t="shared" si="3"/>
        <v>192.27551803236921</v>
      </c>
      <c r="S119" s="4"/>
    </row>
    <row r="120" spans="2:19" x14ac:dyDescent="0.3">
      <c r="B120">
        <v>3980.54</v>
      </c>
      <c r="C120">
        <v>344.72699999999998</v>
      </c>
      <c r="D120">
        <f t="shared" si="2"/>
        <v>310.2543</v>
      </c>
      <c r="E120" s="4">
        <f t="shared" si="3"/>
        <v>194.17406816196561</v>
      </c>
      <c r="S120" s="4"/>
    </row>
    <row r="121" spans="2:19" x14ac:dyDescent="0.3">
      <c r="B121">
        <v>4030.58</v>
      </c>
      <c r="C121">
        <v>349.09100000000001</v>
      </c>
      <c r="D121">
        <f t="shared" si="2"/>
        <v>314.18190000000004</v>
      </c>
      <c r="E121" s="4">
        <f t="shared" si="3"/>
        <v>196.61506118573243</v>
      </c>
      <c r="S121" s="4"/>
    </row>
    <row r="122" spans="2:19" x14ac:dyDescent="0.3">
      <c r="B122">
        <v>4069.5</v>
      </c>
      <c r="C122">
        <v>352</v>
      </c>
      <c r="D122">
        <f t="shared" si="2"/>
        <v>316.8</v>
      </c>
      <c r="E122" s="4">
        <f t="shared" si="3"/>
        <v>198.51361131532886</v>
      </c>
      <c r="S122" s="4"/>
    </row>
    <row r="123" spans="2:19" x14ac:dyDescent="0.3">
      <c r="B123">
        <v>4108.42</v>
      </c>
      <c r="C123">
        <v>356.36399999999998</v>
      </c>
      <c r="D123">
        <f t="shared" si="2"/>
        <v>320.7276</v>
      </c>
      <c r="E123" s="4">
        <f t="shared" si="3"/>
        <v>200.41216144492526</v>
      </c>
      <c r="S123" s="4"/>
    </row>
    <row r="124" spans="2:19" x14ac:dyDescent="0.3">
      <c r="B124">
        <v>4147.34</v>
      </c>
      <c r="C124">
        <v>358.54500000000002</v>
      </c>
      <c r="D124">
        <f t="shared" si="2"/>
        <v>322.69050000000004</v>
      </c>
      <c r="E124" s="4">
        <f t="shared" si="3"/>
        <v>202.31071157452169</v>
      </c>
      <c r="S124" s="4"/>
    </row>
    <row r="125" spans="2:19" x14ac:dyDescent="0.3">
      <c r="B125">
        <v>4197.38</v>
      </c>
      <c r="C125">
        <v>363.63600000000002</v>
      </c>
      <c r="D125">
        <f t="shared" si="2"/>
        <v>327.2724</v>
      </c>
      <c r="E125" s="4">
        <f t="shared" si="3"/>
        <v>204.75170459828848</v>
      </c>
      <c r="S125" s="4"/>
    </row>
    <row r="126" spans="2:19" x14ac:dyDescent="0.3">
      <c r="B126">
        <v>4252.9799999999996</v>
      </c>
      <c r="C126">
        <v>368</v>
      </c>
      <c r="D126">
        <f t="shared" si="2"/>
        <v>331.2</v>
      </c>
      <c r="E126" s="4">
        <f t="shared" si="3"/>
        <v>207.4639190691405</v>
      </c>
      <c r="S126" s="4"/>
    </row>
    <row r="127" spans="2:19" x14ac:dyDescent="0.3">
      <c r="B127">
        <v>4291.8999999999996</v>
      </c>
      <c r="C127">
        <v>371.63600000000002</v>
      </c>
      <c r="D127">
        <f t="shared" si="2"/>
        <v>334.47240000000005</v>
      </c>
      <c r="E127" s="4">
        <f t="shared" si="3"/>
        <v>209.3624691987369</v>
      </c>
      <c r="S127" s="4"/>
    </row>
    <row r="128" spans="2:19" x14ac:dyDescent="0.3">
      <c r="B128">
        <v>4330.82</v>
      </c>
      <c r="C128">
        <v>375.27300000000002</v>
      </c>
      <c r="D128">
        <f t="shared" si="2"/>
        <v>337.74570000000006</v>
      </c>
      <c r="E128" s="4">
        <f t="shared" si="3"/>
        <v>211.26101932833333</v>
      </c>
      <c r="S128" s="4"/>
    </row>
    <row r="129" spans="2:19" x14ac:dyDescent="0.3">
      <c r="B129">
        <v>4375.3</v>
      </c>
      <c r="C129">
        <v>378.90899999999999</v>
      </c>
      <c r="D129">
        <f t="shared" si="2"/>
        <v>341.0181</v>
      </c>
      <c r="E129" s="4">
        <f t="shared" si="3"/>
        <v>213.43079090501496</v>
      </c>
      <c r="S129" s="4"/>
    </row>
    <row r="130" spans="2:19" x14ac:dyDescent="0.3">
      <c r="B130">
        <v>4425.34</v>
      </c>
      <c r="C130">
        <v>383.27300000000002</v>
      </c>
      <c r="D130">
        <f t="shared" si="2"/>
        <v>344.94570000000004</v>
      </c>
      <c r="E130" s="4">
        <f t="shared" si="3"/>
        <v>215.87178392878175</v>
      </c>
      <c r="S130" s="4"/>
    </row>
    <row r="131" spans="2:19" x14ac:dyDescent="0.3">
      <c r="B131">
        <v>4458.7</v>
      </c>
      <c r="C131">
        <v>386.18200000000002</v>
      </c>
      <c r="D131">
        <f t="shared" si="2"/>
        <v>347.56380000000001</v>
      </c>
      <c r="E131" s="4">
        <f t="shared" si="3"/>
        <v>217.49911261129293</v>
      </c>
      <c r="S131" s="4"/>
    </row>
    <row r="132" spans="2:19" x14ac:dyDescent="0.3">
      <c r="B132">
        <v>4503.18</v>
      </c>
      <c r="C132">
        <v>390.54500000000002</v>
      </c>
      <c r="D132">
        <f t="shared" si="2"/>
        <v>351.4905</v>
      </c>
      <c r="E132" s="4">
        <f t="shared" si="3"/>
        <v>219.66888418797458</v>
      </c>
      <c r="S132" s="4"/>
    </row>
    <row r="133" spans="2:19" x14ac:dyDescent="0.3">
      <c r="B133">
        <v>4542.1000000000004</v>
      </c>
      <c r="C133">
        <v>393.45499999999998</v>
      </c>
      <c r="D133">
        <f t="shared" ref="D133:D193" si="4">C133*$I$3</f>
        <v>354.10949999999997</v>
      </c>
      <c r="E133" s="4">
        <f t="shared" ref="E133:E193" si="5">0.3268*$I$4*$I$5*2*PI()*$B133/60*3.6</f>
        <v>221.56743431757101</v>
      </c>
      <c r="S133" s="4"/>
    </row>
    <row r="134" spans="2:19" x14ac:dyDescent="0.3">
      <c r="B134">
        <v>4575.46</v>
      </c>
      <c r="C134">
        <v>397.09100000000001</v>
      </c>
      <c r="D134">
        <f t="shared" si="4"/>
        <v>357.38190000000003</v>
      </c>
      <c r="E134" s="4">
        <f t="shared" si="5"/>
        <v>223.19476300008219</v>
      </c>
      <c r="S134" s="4"/>
    </row>
    <row r="135" spans="2:19" x14ac:dyDescent="0.3">
      <c r="B135">
        <v>4608.82</v>
      </c>
      <c r="C135">
        <v>400</v>
      </c>
      <c r="D135">
        <f t="shared" si="4"/>
        <v>360</v>
      </c>
      <c r="E135" s="4">
        <f t="shared" si="5"/>
        <v>224.8220916825934</v>
      </c>
      <c r="S135" s="4"/>
    </row>
    <row r="136" spans="2:19" x14ac:dyDescent="0.3">
      <c r="B136">
        <v>4642.18</v>
      </c>
      <c r="C136">
        <v>402.90899999999999</v>
      </c>
      <c r="D136">
        <f t="shared" si="4"/>
        <v>362.61810000000003</v>
      </c>
      <c r="E136" s="4">
        <f t="shared" si="5"/>
        <v>226.44942036510463</v>
      </c>
      <c r="S136" s="4"/>
    </row>
    <row r="137" spans="2:19" x14ac:dyDescent="0.3">
      <c r="B137">
        <v>4681.1000000000004</v>
      </c>
      <c r="C137">
        <v>405.81799999999998</v>
      </c>
      <c r="D137">
        <f t="shared" si="4"/>
        <v>365.2362</v>
      </c>
      <c r="E137" s="4">
        <f t="shared" si="5"/>
        <v>228.34797049470106</v>
      </c>
      <c r="S137" s="4"/>
    </row>
    <row r="138" spans="2:19" x14ac:dyDescent="0.3">
      <c r="B138">
        <v>4708.8999999999996</v>
      </c>
      <c r="C138">
        <v>409.45499999999998</v>
      </c>
      <c r="D138">
        <f t="shared" si="4"/>
        <v>368.5095</v>
      </c>
      <c r="E138" s="4">
        <f t="shared" si="5"/>
        <v>229.70407773012701</v>
      </c>
      <c r="S138" s="4"/>
    </row>
    <row r="139" spans="2:19" x14ac:dyDescent="0.3">
      <c r="B139">
        <v>4753.38</v>
      </c>
      <c r="C139">
        <v>412.36399999999998</v>
      </c>
      <c r="D139">
        <f t="shared" si="4"/>
        <v>371.12759999999997</v>
      </c>
      <c r="E139" s="4">
        <f t="shared" si="5"/>
        <v>231.87384930680867</v>
      </c>
      <c r="S139" s="4"/>
    </row>
    <row r="140" spans="2:19" x14ac:dyDescent="0.3">
      <c r="B140">
        <v>4781.18</v>
      </c>
      <c r="C140">
        <v>415.27300000000002</v>
      </c>
      <c r="D140">
        <f t="shared" si="4"/>
        <v>373.74570000000006</v>
      </c>
      <c r="E140" s="4">
        <f t="shared" si="5"/>
        <v>233.2299565422347</v>
      </c>
      <c r="S140" s="4"/>
    </row>
    <row r="141" spans="2:19" x14ac:dyDescent="0.3">
      <c r="B141">
        <v>4820.1000000000004</v>
      </c>
      <c r="C141">
        <v>418.90899999999999</v>
      </c>
      <c r="D141">
        <f t="shared" si="4"/>
        <v>377.0181</v>
      </c>
      <c r="E141" s="4">
        <f t="shared" si="5"/>
        <v>235.1285066718311</v>
      </c>
      <c r="S141" s="4"/>
    </row>
    <row r="142" spans="2:19" x14ac:dyDescent="0.3">
      <c r="B142">
        <v>4864.58</v>
      </c>
      <c r="C142">
        <v>421.81799999999998</v>
      </c>
      <c r="D142">
        <f t="shared" si="4"/>
        <v>379.63619999999997</v>
      </c>
      <c r="E142" s="4">
        <f t="shared" si="5"/>
        <v>237.2982782485127</v>
      </c>
      <c r="S142" s="4"/>
    </row>
    <row r="143" spans="2:19" x14ac:dyDescent="0.3">
      <c r="B143">
        <v>4892.37</v>
      </c>
      <c r="C143">
        <v>424</v>
      </c>
      <c r="D143">
        <f t="shared" si="4"/>
        <v>381.6</v>
      </c>
      <c r="E143" s="4">
        <f t="shared" si="5"/>
        <v>238.65389767558062</v>
      </c>
      <c r="S143" s="4"/>
    </row>
    <row r="144" spans="2:19" x14ac:dyDescent="0.3">
      <c r="B144">
        <v>4931.29</v>
      </c>
      <c r="C144">
        <v>426.18200000000002</v>
      </c>
      <c r="D144">
        <f t="shared" si="4"/>
        <v>383.56380000000001</v>
      </c>
      <c r="E144" s="4">
        <f t="shared" si="5"/>
        <v>240.55244780517702</v>
      </c>
      <c r="S144" s="4"/>
    </row>
    <row r="145" spans="2:19" x14ac:dyDescent="0.3">
      <c r="B145">
        <v>4975.7700000000004</v>
      </c>
      <c r="C145">
        <v>429.09100000000001</v>
      </c>
      <c r="D145">
        <f t="shared" si="4"/>
        <v>386.18190000000004</v>
      </c>
      <c r="E145" s="4">
        <f t="shared" si="5"/>
        <v>242.72221938185871</v>
      </c>
      <c r="S145" s="4"/>
    </row>
    <row r="146" spans="2:19" x14ac:dyDescent="0.3">
      <c r="B146">
        <v>5014.6899999999996</v>
      </c>
      <c r="C146">
        <v>431.27300000000002</v>
      </c>
      <c r="D146">
        <f t="shared" si="4"/>
        <v>388.14570000000003</v>
      </c>
      <c r="E146" s="4">
        <f t="shared" si="5"/>
        <v>244.62076951145505</v>
      </c>
      <c r="S146" s="4"/>
    </row>
    <row r="147" spans="2:19" x14ac:dyDescent="0.3">
      <c r="B147">
        <v>5053.6099999999997</v>
      </c>
      <c r="C147">
        <v>433.45499999999998</v>
      </c>
      <c r="D147">
        <f t="shared" si="4"/>
        <v>390.10949999999997</v>
      </c>
      <c r="E147" s="4">
        <f t="shared" si="5"/>
        <v>246.51931964105151</v>
      </c>
      <c r="S147" s="4"/>
    </row>
    <row r="148" spans="2:19" x14ac:dyDescent="0.3">
      <c r="B148">
        <v>5092.53</v>
      </c>
      <c r="C148">
        <v>436.36399999999998</v>
      </c>
      <c r="D148">
        <f t="shared" si="4"/>
        <v>392.7276</v>
      </c>
      <c r="E148" s="4">
        <f t="shared" si="5"/>
        <v>248.41786977064785</v>
      </c>
      <c r="S148" s="4"/>
    </row>
    <row r="149" spans="2:19" x14ac:dyDescent="0.3">
      <c r="B149">
        <v>5131.45</v>
      </c>
      <c r="C149">
        <v>438.54500000000002</v>
      </c>
      <c r="D149">
        <f t="shared" si="4"/>
        <v>394.69050000000004</v>
      </c>
      <c r="E149" s="4">
        <f t="shared" si="5"/>
        <v>250.31641990024431</v>
      </c>
      <c r="S149" s="4"/>
    </row>
    <row r="150" spans="2:19" x14ac:dyDescent="0.3">
      <c r="B150">
        <v>5164.8100000000004</v>
      </c>
      <c r="C150">
        <v>440.72699999999998</v>
      </c>
      <c r="D150">
        <f t="shared" si="4"/>
        <v>396.65429999999998</v>
      </c>
      <c r="E150" s="4">
        <f t="shared" si="5"/>
        <v>251.94374858275549</v>
      </c>
      <c r="S150" s="4"/>
    </row>
    <row r="151" spans="2:19" x14ac:dyDescent="0.3">
      <c r="B151">
        <v>5209.29</v>
      </c>
      <c r="C151">
        <v>443.63600000000002</v>
      </c>
      <c r="D151">
        <f t="shared" si="4"/>
        <v>399.2724</v>
      </c>
      <c r="E151" s="4">
        <f t="shared" si="5"/>
        <v>254.11352015943714</v>
      </c>
      <c r="S151" s="4"/>
    </row>
    <row r="152" spans="2:19" x14ac:dyDescent="0.3">
      <c r="B152">
        <v>5253.77</v>
      </c>
      <c r="C152">
        <v>445.81799999999998</v>
      </c>
      <c r="D152">
        <f t="shared" si="4"/>
        <v>401.2362</v>
      </c>
      <c r="E152" s="4">
        <f t="shared" si="5"/>
        <v>256.28329173611877</v>
      </c>
      <c r="S152" s="4"/>
    </row>
    <row r="153" spans="2:19" x14ac:dyDescent="0.3">
      <c r="B153">
        <v>5292.69</v>
      </c>
      <c r="C153">
        <v>448</v>
      </c>
      <c r="D153">
        <f t="shared" si="4"/>
        <v>403.2</v>
      </c>
      <c r="E153" s="4">
        <f t="shared" si="5"/>
        <v>258.18184186571511</v>
      </c>
      <c r="S153" s="4"/>
    </row>
    <row r="154" spans="2:19" x14ac:dyDescent="0.3">
      <c r="B154">
        <v>5331.61</v>
      </c>
      <c r="C154">
        <v>450.90899999999999</v>
      </c>
      <c r="D154">
        <f t="shared" si="4"/>
        <v>405.81810000000002</v>
      </c>
      <c r="E154" s="4">
        <f t="shared" si="5"/>
        <v>260.08039199531157</v>
      </c>
      <c r="S154" s="4"/>
    </row>
    <row r="155" spans="2:19" x14ac:dyDescent="0.3">
      <c r="B155">
        <v>5376.09</v>
      </c>
      <c r="C155">
        <v>453.81799999999998</v>
      </c>
      <c r="D155">
        <f t="shared" si="4"/>
        <v>408.43619999999999</v>
      </c>
      <c r="E155" s="4">
        <f t="shared" si="5"/>
        <v>262.2501635719932</v>
      </c>
      <c r="S155" s="4"/>
    </row>
    <row r="156" spans="2:19" x14ac:dyDescent="0.3">
      <c r="B156">
        <v>5420.57</v>
      </c>
      <c r="C156">
        <v>456</v>
      </c>
      <c r="D156">
        <f t="shared" si="4"/>
        <v>410.40000000000003</v>
      </c>
      <c r="E156" s="4">
        <f t="shared" si="5"/>
        <v>264.41993514867477</v>
      </c>
      <c r="S156" s="4"/>
    </row>
    <row r="157" spans="2:19" x14ac:dyDescent="0.3">
      <c r="B157">
        <v>5465.05</v>
      </c>
      <c r="C157">
        <v>458.90899999999999</v>
      </c>
      <c r="D157">
        <f t="shared" si="4"/>
        <v>413.0181</v>
      </c>
      <c r="E157" s="4">
        <f t="shared" si="5"/>
        <v>266.58970672535639</v>
      </c>
      <c r="S157" s="4"/>
    </row>
    <row r="158" spans="2:19" x14ac:dyDescent="0.3">
      <c r="B158">
        <v>5515.09</v>
      </c>
      <c r="C158">
        <v>462.54500000000002</v>
      </c>
      <c r="D158">
        <f t="shared" si="4"/>
        <v>416.29050000000001</v>
      </c>
      <c r="E158" s="4">
        <f t="shared" si="5"/>
        <v>269.03069974912319</v>
      </c>
      <c r="S158" s="4"/>
    </row>
    <row r="159" spans="2:19" x14ac:dyDescent="0.3">
      <c r="B159">
        <v>5559.57</v>
      </c>
      <c r="C159">
        <v>465.45499999999998</v>
      </c>
      <c r="D159">
        <f t="shared" si="4"/>
        <v>418.90949999999998</v>
      </c>
      <c r="E159" s="4">
        <f t="shared" si="5"/>
        <v>271.20047132580481</v>
      </c>
      <c r="S159" s="4"/>
    </row>
    <row r="160" spans="2:19" x14ac:dyDescent="0.3">
      <c r="B160">
        <v>5598.49</v>
      </c>
      <c r="C160">
        <v>468.36399999999998</v>
      </c>
      <c r="D160">
        <f t="shared" si="4"/>
        <v>421.52760000000001</v>
      </c>
      <c r="E160" s="4">
        <f t="shared" si="5"/>
        <v>273.09902145540121</v>
      </c>
      <c r="S160" s="4"/>
    </row>
    <row r="161" spans="2:19" x14ac:dyDescent="0.3">
      <c r="B161">
        <v>5648.53</v>
      </c>
      <c r="C161">
        <v>471.27300000000002</v>
      </c>
      <c r="D161">
        <f t="shared" si="4"/>
        <v>424.14570000000003</v>
      </c>
      <c r="E161" s="4">
        <f t="shared" si="5"/>
        <v>275.54001447916806</v>
      </c>
      <c r="S161" s="4"/>
    </row>
    <row r="162" spans="2:19" x14ac:dyDescent="0.3">
      <c r="B162">
        <v>5681.89</v>
      </c>
      <c r="C162">
        <v>473.45499999999998</v>
      </c>
      <c r="D162">
        <f t="shared" si="4"/>
        <v>426.10949999999997</v>
      </c>
      <c r="E162" s="4">
        <f t="shared" si="5"/>
        <v>277.1673431616793</v>
      </c>
      <c r="S162" s="4"/>
    </row>
    <row r="163" spans="2:19" x14ac:dyDescent="0.3">
      <c r="B163">
        <v>5720.81</v>
      </c>
      <c r="C163">
        <v>475.63600000000002</v>
      </c>
      <c r="D163">
        <f t="shared" si="4"/>
        <v>428.07240000000002</v>
      </c>
      <c r="E163" s="4">
        <f t="shared" si="5"/>
        <v>279.0658932912757</v>
      </c>
      <c r="S163" s="4"/>
    </row>
    <row r="164" spans="2:19" x14ac:dyDescent="0.3">
      <c r="B164">
        <v>5759.73</v>
      </c>
      <c r="C164">
        <v>478.54500000000002</v>
      </c>
      <c r="D164">
        <f t="shared" si="4"/>
        <v>430.69050000000004</v>
      </c>
      <c r="E164" s="4">
        <f t="shared" si="5"/>
        <v>280.9644434208721</v>
      </c>
      <c r="S164" s="4"/>
    </row>
    <row r="165" spans="2:19" x14ac:dyDescent="0.3">
      <c r="B165">
        <v>5793.09</v>
      </c>
      <c r="C165">
        <v>480.72699999999998</v>
      </c>
      <c r="D165">
        <f t="shared" si="4"/>
        <v>432.65429999999998</v>
      </c>
      <c r="E165" s="4">
        <f t="shared" si="5"/>
        <v>282.59177210338328</v>
      </c>
      <c r="S165" s="4"/>
    </row>
    <row r="166" spans="2:19" x14ac:dyDescent="0.3">
      <c r="B166">
        <v>5832.01</v>
      </c>
      <c r="C166">
        <v>482.90899999999999</v>
      </c>
      <c r="D166">
        <f t="shared" si="4"/>
        <v>434.61810000000003</v>
      </c>
      <c r="E166" s="4">
        <f t="shared" si="5"/>
        <v>284.49032223297974</v>
      </c>
      <c r="S166" s="4"/>
    </row>
    <row r="167" spans="2:19" x14ac:dyDescent="0.3">
      <c r="B167">
        <v>5870.93</v>
      </c>
      <c r="C167">
        <v>484.36399999999998</v>
      </c>
      <c r="D167">
        <f t="shared" si="4"/>
        <v>435.92759999999998</v>
      </c>
      <c r="E167" s="4">
        <f t="shared" si="5"/>
        <v>286.38887236257614</v>
      </c>
      <c r="S167" s="4"/>
    </row>
    <row r="168" spans="2:19" x14ac:dyDescent="0.3">
      <c r="B168">
        <v>5909.85</v>
      </c>
      <c r="C168">
        <v>485.81799999999998</v>
      </c>
      <c r="D168">
        <f t="shared" si="4"/>
        <v>437.2362</v>
      </c>
      <c r="E168" s="4">
        <f t="shared" si="5"/>
        <v>288.2874224921726</v>
      </c>
      <c r="S168" s="4"/>
    </row>
    <row r="169" spans="2:19" x14ac:dyDescent="0.3">
      <c r="B169">
        <v>5948.77</v>
      </c>
      <c r="C169">
        <v>487.27300000000002</v>
      </c>
      <c r="D169">
        <f t="shared" si="4"/>
        <v>438.54570000000001</v>
      </c>
      <c r="E169" s="4">
        <f t="shared" si="5"/>
        <v>290.18597262176894</v>
      </c>
      <c r="S169" s="4"/>
    </row>
    <row r="170" spans="2:19" x14ac:dyDescent="0.3">
      <c r="B170">
        <v>5998.81</v>
      </c>
      <c r="C170">
        <v>489.45499999999998</v>
      </c>
      <c r="D170">
        <f t="shared" si="4"/>
        <v>440.5095</v>
      </c>
      <c r="E170" s="4">
        <f t="shared" si="5"/>
        <v>292.62696564553573</v>
      </c>
      <c r="S170" s="4"/>
    </row>
    <row r="171" spans="2:19" x14ac:dyDescent="0.3">
      <c r="B171">
        <v>6032.17</v>
      </c>
      <c r="C171">
        <v>490.18200000000002</v>
      </c>
      <c r="D171">
        <f t="shared" si="4"/>
        <v>441.16380000000004</v>
      </c>
      <c r="E171" s="4">
        <f t="shared" si="5"/>
        <v>294.25429432804697</v>
      </c>
      <c r="S171" s="4"/>
    </row>
    <row r="172" spans="2:19" x14ac:dyDescent="0.3">
      <c r="B172">
        <v>6076.65</v>
      </c>
      <c r="C172">
        <v>492.36399999999998</v>
      </c>
      <c r="D172">
        <f t="shared" si="4"/>
        <v>443.12759999999997</v>
      </c>
      <c r="E172" s="4">
        <f t="shared" si="5"/>
        <v>296.42406590472859</v>
      </c>
      <c r="S172" s="4"/>
    </row>
    <row r="173" spans="2:19" x14ac:dyDescent="0.3">
      <c r="B173">
        <v>6132.25</v>
      </c>
      <c r="C173">
        <v>494.54500000000002</v>
      </c>
      <c r="D173">
        <f t="shared" si="4"/>
        <v>445.09050000000002</v>
      </c>
      <c r="E173" s="4">
        <f t="shared" si="5"/>
        <v>299.13628037558061</v>
      </c>
      <c r="S173" s="4"/>
    </row>
    <row r="174" spans="2:19" x14ac:dyDescent="0.3">
      <c r="B174">
        <v>6198.97</v>
      </c>
      <c r="C174">
        <v>496.72699999999998</v>
      </c>
      <c r="D174">
        <f t="shared" si="4"/>
        <v>447.05430000000001</v>
      </c>
      <c r="E174" s="4">
        <f t="shared" si="5"/>
        <v>302.39093774060308</v>
      </c>
      <c r="S174" s="4"/>
    </row>
    <row r="175" spans="2:19" x14ac:dyDescent="0.3">
      <c r="B175">
        <v>6243.45</v>
      </c>
      <c r="C175">
        <v>498.90899999999999</v>
      </c>
      <c r="D175">
        <f t="shared" si="4"/>
        <v>449.0181</v>
      </c>
      <c r="E175" s="4">
        <f t="shared" si="5"/>
        <v>304.56070931728465</v>
      </c>
      <c r="S175" s="4"/>
    </row>
    <row r="176" spans="2:19" x14ac:dyDescent="0.3">
      <c r="B176">
        <v>6276.81</v>
      </c>
      <c r="C176">
        <v>499.63600000000002</v>
      </c>
      <c r="D176">
        <f t="shared" si="4"/>
        <v>449.67240000000004</v>
      </c>
      <c r="E176" s="4">
        <f t="shared" si="5"/>
        <v>306.18803799979588</v>
      </c>
      <c r="S176" s="4"/>
    </row>
    <row r="177" spans="2:19" x14ac:dyDescent="0.3">
      <c r="B177" s="1">
        <v>6293.49</v>
      </c>
      <c r="C177" s="1">
        <v>500.36399999999998</v>
      </c>
      <c r="D177" s="14">
        <f>C177*$I$3</f>
        <v>450.32759999999996</v>
      </c>
      <c r="E177" s="4">
        <f t="shared" si="5"/>
        <v>307.00170234105144</v>
      </c>
      <c r="S177" s="4"/>
    </row>
    <row r="178" spans="2:19" x14ac:dyDescent="0.3">
      <c r="B178">
        <v>6315.73</v>
      </c>
      <c r="C178">
        <v>499.63600000000002</v>
      </c>
      <c r="D178">
        <f t="shared" si="4"/>
        <v>449.67240000000004</v>
      </c>
      <c r="E178" s="4">
        <f t="shared" si="5"/>
        <v>308.08658812939223</v>
      </c>
      <c r="S178" s="4"/>
    </row>
    <row r="179" spans="2:19" x14ac:dyDescent="0.3">
      <c r="B179">
        <v>6337.97</v>
      </c>
      <c r="C179">
        <v>498.90899999999999</v>
      </c>
      <c r="D179">
        <f t="shared" si="4"/>
        <v>449.0181</v>
      </c>
      <c r="E179" s="4">
        <f t="shared" si="5"/>
        <v>309.17147391773312</v>
      </c>
      <c r="S179" s="4"/>
    </row>
    <row r="180" spans="2:19" x14ac:dyDescent="0.3">
      <c r="B180">
        <v>6354.65</v>
      </c>
      <c r="C180">
        <v>498.90899999999999</v>
      </c>
      <c r="D180">
        <f t="shared" si="4"/>
        <v>449.0181</v>
      </c>
      <c r="E180" s="4">
        <f t="shared" si="5"/>
        <v>309.98513825898868</v>
      </c>
      <c r="S180" s="4"/>
    </row>
    <row r="181" spans="2:19" x14ac:dyDescent="0.3">
      <c r="B181">
        <v>6388.01</v>
      </c>
      <c r="C181">
        <v>497.45499999999998</v>
      </c>
      <c r="D181">
        <f t="shared" si="4"/>
        <v>447.70949999999999</v>
      </c>
      <c r="E181" s="4">
        <f t="shared" si="5"/>
        <v>311.61246694149992</v>
      </c>
      <c r="S181" s="4"/>
    </row>
    <row r="182" spans="2:19" x14ac:dyDescent="0.3">
      <c r="B182">
        <v>6421.37</v>
      </c>
      <c r="C182">
        <v>496.72699999999998</v>
      </c>
      <c r="D182">
        <f t="shared" si="4"/>
        <v>447.05430000000001</v>
      </c>
      <c r="E182" s="4">
        <f t="shared" si="5"/>
        <v>313.23979562401109</v>
      </c>
      <c r="S182" s="4"/>
    </row>
    <row r="183" spans="2:19" x14ac:dyDescent="0.3">
      <c r="B183">
        <v>6449.17</v>
      </c>
      <c r="C183">
        <v>496.72699999999998</v>
      </c>
      <c r="D183">
        <f t="shared" si="4"/>
        <v>447.05430000000001</v>
      </c>
      <c r="E183" s="4">
        <f t="shared" si="5"/>
        <v>314.59590285943716</v>
      </c>
      <c r="S183" s="4"/>
    </row>
    <row r="184" spans="2:19" x14ac:dyDescent="0.3">
      <c r="B184">
        <v>6476.97</v>
      </c>
      <c r="C184">
        <v>495.27300000000002</v>
      </c>
      <c r="D184">
        <f t="shared" si="4"/>
        <v>445.74570000000006</v>
      </c>
      <c r="E184" s="4">
        <f t="shared" si="5"/>
        <v>315.95201009486311</v>
      </c>
      <c r="S184" s="4"/>
    </row>
    <row r="185" spans="2:19" x14ac:dyDescent="0.3">
      <c r="B185">
        <v>6515.89</v>
      </c>
      <c r="C185">
        <v>494.54500000000002</v>
      </c>
      <c r="D185">
        <f t="shared" si="4"/>
        <v>445.09050000000002</v>
      </c>
      <c r="E185" s="4">
        <f t="shared" si="5"/>
        <v>317.85056022445951</v>
      </c>
      <c r="S185" s="4"/>
    </row>
    <row r="186" spans="2:19" x14ac:dyDescent="0.3">
      <c r="B186">
        <v>6543.69</v>
      </c>
      <c r="C186">
        <v>494.54500000000002</v>
      </c>
      <c r="D186">
        <f t="shared" si="4"/>
        <v>445.09050000000002</v>
      </c>
      <c r="E186" s="4">
        <f t="shared" si="5"/>
        <v>319.20666745988552</v>
      </c>
      <c r="S186" s="4"/>
    </row>
    <row r="187" spans="2:19" x14ac:dyDescent="0.3">
      <c r="B187">
        <v>6577.05</v>
      </c>
      <c r="C187">
        <v>493.09100000000001</v>
      </c>
      <c r="D187">
        <f t="shared" si="4"/>
        <v>443.78190000000001</v>
      </c>
      <c r="E187" s="4">
        <f t="shared" si="5"/>
        <v>320.83399614239676</v>
      </c>
      <c r="S187" s="4"/>
    </row>
    <row r="188" spans="2:19" x14ac:dyDescent="0.3">
      <c r="B188">
        <v>6610.41</v>
      </c>
      <c r="C188">
        <v>492.36399999999998</v>
      </c>
      <c r="D188">
        <f t="shared" si="4"/>
        <v>443.12759999999997</v>
      </c>
      <c r="E188" s="4">
        <f t="shared" si="5"/>
        <v>322.46132482490799</v>
      </c>
      <c r="S188" s="4"/>
    </row>
    <row r="189" spans="2:19" x14ac:dyDescent="0.3">
      <c r="B189">
        <v>6643.76</v>
      </c>
      <c r="C189">
        <v>491.63600000000002</v>
      </c>
      <c r="D189">
        <f t="shared" si="4"/>
        <v>442.47240000000005</v>
      </c>
      <c r="E189" s="4">
        <f t="shared" si="5"/>
        <v>324.08816569906111</v>
      </c>
      <c r="S189" s="4"/>
    </row>
    <row r="190" spans="2:19" x14ac:dyDescent="0.3">
      <c r="B190">
        <v>6682.68</v>
      </c>
      <c r="C190">
        <v>490.18200000000002</v>
      </c>
      <c r="D190">
        <f t="shared" si="4"/>
        <v>441.16380000000004</v>
      </c>
      <c r="E190" s="4">
        <f t="shared" si="5"/>
        <v>325.98671582865757</v>
      </c>
      <c r="S190" s="4"/>
    </row>
    <row r="191" spans="2:19" x14ac:dyDescent="0.3">
      <c r="B191">
        <v>6710.48</v>
      </c>
      <c r="C191">
        <v>489.45499999999998</v>
      </c>
      <c r="D191">
        <f t="shared" si="4"/>
        <v>440.5095</v>
      </c>
      <c r="E191" s="4">
        <f t="shared" si="5"/>
        <v>327.34282306408346</v>
      </c>
      <c r="S191" s="4"/>
    </row>
    <row r="192" spans="2:19" x14ac:dyDescent="0.3">
      <c r="B192">
        <v>6754.96</v>
      </c>
      <c r="C192">
        <v>488</v>
      </c>
      <c r="D192">
        <f t="shared" si="4"/>
        <v>439.2</v>
      </c>
      <c r="E192" s="4">
        <f t="shared" si="5"/>
        <v>329.51259464076514</v>
      </c>
      <c r="S192" s="4"/>
    </row>
    <row r="193" spans="2:19" x14ac:dyDescent="0.3">
      <c r="B193">
        <v>6782.76</v>
      </c>
      <c r="C193">
        <v>487.27300000000002</v>
      </c>
      <c r="D193">
        <f t="shared" si="4"/>
        <v>438.54570000000001</v>
      </c>
      <c r="E193" s="4">
        <f t="shared" si="5"/>
        <v>330.86870187619115</v>
      </c>
      <c r="S193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54EC4-CAE9-4F4A-88C9-7A5C19C5D386}">
  <sheetPr codeName="Sheet3"/>
  <dimension ref="B3:P704"/>
  <sheetViews>
    <sheetView topLeftCell="A2" zoomScaleNormal="100" workbookViewId="0">
      <selection activeCell="B4" sqref="B4"/>
    </sheetView>
  </sheetViews>
  <sheetFormatPr defaultRowHeight="14.4" x14ac:dyDescent="0.3"/>
  <cols>
    <col min="2" max="2" width="20.21875" bestFit="1" customWidth="1"/>
    <col min="3" max="3" width="19.5546875" bestFit="1" customWidth="1"/>
    <col min="4" max="4" width="12.109375" customWidth="1"/>
    <col min="5" max="5" width="9.6640625" bestFit="1" customWidth="1"/>
    <col min="16" max="16" width="11.88671875" bestFit="1" customWidth="1"/>
  </cols>
  <sheetData>
    <row r="3" spans="2:16" x14ac:dyDescent="0.3">
      <c r="B3" s="5" t="s">
        <v>6</v>
      </c>
      <c r="C3" s="5" t="s">
        <v>11</v>
      </c>
      <c r="D3" s="5"/>
    </row>
    <row r="4" spans="2:16" ht="16.8" x14ac:dyDescent="0.35">
      <c r="B4" s="4">
        <f>'Power-Speed Relation VI Gear'!E4</f>
        <v>48.800348141013629</v>
      </c>
      <c r="C4" s="4">
        <f>(50*B4/3.6+0.5272*(B4/3.6)^3)/1000/0.7355</f>
        <v>2.7070021872109953</v>
      </c>
      <c r="D4" s="4"/>
      <c r="P4" s="4" t="s">
        <v>15</v>
      </c>
    </row>
    <row r="5" spans="2:16" x14ac:dyDescent="0.3">
      <c r="B5" s="4">
        <f>'Power-Speed Relation VI Gear'!E5</f>
        <v>49.342791035184042</v>
      </c>
      <c r="C5" s="4">
        <f t="shared" ref="C5:C68" si="0">(50*B5/3.6+0.5272*(B5/3.6)^3)/1000/0.7355</f>
        <v>2.7774493899348456</v>
      </c>
      <c r="D5" s="4"/>
      <c r="P5" s="4" t="s">
        <v>10</v>
      </c>
    </row>
    <row r="6" spans="2:16" x14ac:dyDescent="0.3">
      <c r="B6" s="4">
        <f>'Power-Speed Relation VI Gear'!E6</f>
        <v>50.427676823524834</v>
      </c>
      <c r="C6" s="4">
        <f t="shared" si="0"/>
        <v>2.9223735446977512</v>
      </c>
      <c r="D6" s="4"/>
      <c r="P6" s="4" t="s">
        <v>14</v>
      </c>
    </row>
    <row r="7" spans="2:16" x14ac:dyDescent="0.3">
      <c r="B7" s="4">
        <f>'Power-Speed Relation VI Gear'!E7</f>
        <v>51.241341164780451</v>
      </c>
      <c r="C7" s="4">
        <f t="shared" si="0"/>
        <v>3.034650623499545</v>
      </c>
      <c r="D7" s="4"/>
      <c r="P7" s="4"/>
    </row>
    <row r="8" spans="2:16" x14ac:dyDescent="0.3">
      <c r="B8" s="4">
        <f>'Power-Speed Relation VI Gear'!E8</f>
        <v>52.326226953121257</v>
      </c>
      <c r="C8" s="4">
        <f t="shared" si="0"/>
        <v>3.1892264200402014</v>
      </c>
      <c r="D8" s="4"/>
      <c r="P8" s="4"/>
    </row>
    <row r="9" spans="2:16" x14ac:dyDescent="0.3">
      <c r="B9" s="4">
        <f>'Power-Speed Relation VI Gear'!E9</f>
        <v>53.139891294376852</v>
      </c>
      <c r="C9" s="4">
        <f t="shared" si="0"/>
        <v>3.3088774050258425</v>
      </c>
      <c r="D9" s="4"/>
      <c r="P9" s="4"/>
    </row>
    <row r="10" spans="2:16" x14ac:dyDescent="0.3">
      <c r="B10" s="4">
        <f>'Power-Speed Relation VI Gear'!E10</f>
        <v>53.953555635632455</v>
      </c>
      <c r="C10" s="4">
        <f t="shared" si="0"/>
        <v>3.4317713956314222</v>
      </c>
      <c r="D10" s="4"/>
      <c r="P10" s="4"/>
    </row>
    <row r="11" spans="2:16" x14ac:dyDescent="0.3">
      <c r="B11" s="4">
        <f>'Power-Speed Relation VI Gear'!E11</f>
        <v>55.038441423973268</v>
      </c>
      <c r="C11" s="4">
        <f t="shared" si="0"/>
        <v>3.600760550482923</v>
      </c>
      <c r="D11" s="4"/>
      <c r="P11" s="4"/>
    </row>
    <row r="12" spans="2:16" x14ac:dyDescent="0.3">
      <c r="B12" s="4">
        <f>'Power-Speed Relation VI Gear'!E12</f>
        <v>56.123327212314081</v>
      </c>
      <c r="C12" s="4">
        <f t="shared" si="0"/>
        <v>3.7757210293833889</v>
      </c>
      <c r="D12" s="4"/>
      <c r="P12" s="4"/>
    </row>
    <row r="13" spans="2:16" x14ac:dyDescent="0.3">
      <c r="B13" s="4">
        <f>'Power-Speed Relation VI Gear'!E13</f>
        <v>56.936991553569683</v>
      </c>
      <c r="C13" s="4">
        <f t="shared" si="0"/>
        <v>3.9109308758399628</v>
      </c>
      <c r="D13" s="4"/>
      <c r="P13" s="4"/>
    </row>
    <row r="14" spans="2:16" x14ac:dyDescent="0.3">
      <c r="B14" s="4">
        <f>'Power-Speed Relation VI Gear'!E14</f>
        <v>57.750655894825293</v>
      </c>
      <c r="C14" s="4">
        <f t="shared" si="0"/>
        <v>4.0496154562316873</v>
      </c>
      <c r="D14" s="4"/>
      <c r="P14" s="4"/>
    </row>
    <row r="15" spans="2:16" x14ac:dyDescent="0.3">
      <c r="B15" s="4">
        <f>'Power-Speed Relation VI Gear'!E15</f>
        <v>58.835541683166099</v>
      </c>
      <c r="C15" s="4">
        <f t="shared" si="0"/>
        <v>4.2400191970661441</v>
      </c>
      <c r="D15" s="4"/>
      <c r="P15" s="4"/>
    </row>
    <row r="16" spans="2:16" x14ac:dyDescent="0.3">
      <c r="B16" s="4">
        <f>'Power-Speed Relation VI Gear'!E16</f>
        <v>59.649206024421694</v>
      </c>
      <c r="C16" s="4">
        <f t="shared" si="0"/>
        <v>4.3870045969025533</v>
      </c>
      <c r="D16" s="4"/>
      <c r="P16" s="4"/>
    </row>
    <row r="17" spans="2:16" x14ac:dyDescent="0.3">
      <c r="B17" s="4">
        <f>'Power-Speed Relation VI Gear'!E17</f>
        <v>60.462870365677304</v>
      </c>
      <c r="C17" s="4">
        <f t="shared" si="0"/>
        <v>4.5376302508992623</v>
      </c>
      <c r="D17" s="4"/>
      <c r="P17" s="4"/>
    </row>
    <row r="18" spans="2:16" x14ac:dyDescent="0.3">
      <c r="B18" s="4">
        <f>'Power-Speed Relation VI Gear'!E18</f>
        <v>61.54775615401811</v>
      </c>
      <c r="C18" s="4">
        <f t="shared" si="0"/>
        <v>4.744212899112819</v>
      </c>
      <c r="D18" s="4"/>
      <c r="P18" s="4"/>
    </row>
    <row r="19" spans="2:16" x14ac:dyDescent="0.3">
      <c r="B19" s="4">
        <f>'Power-Speed Relation VI Gear'!E19</f>
        <v>62.361420495273734</v>
      </c>
      <c r="C19" s="4">
        <f t="shared" si="0"/>
        <v>4.9035255864128979</v>
      </c>
      <c r="D19" s="4"/>
      <c r="P19" s="4"/>
    </row>
    <row r="20" spans="2:16" x14ac:dyDescent="0.3">
      <c r="B20" s="4">
        <f>'Power-Speed Relation VI Gear'!E20</f>
        <v>63.717527730699729</v>
      </c>
      <c r="C20" s="4">
        <f t="shared" si="0"/>
        <v>5.1775285298399636</v>
      </c>
      <c r="D20" s="4"/>
      <c r="P20" s="4"/>
    </row>
    <row r="21" spans="2:16" x14ac:dyDescent="0.3">
      <c r="B21" s="4">
        <f>'Power-Speed Relation VI Gear'!E21</f>
        <v>65.073634966125738</v>
      </c>
      <c r="C21" s="4">
        <f t="shared" si="0"/>
        <v>5.4623329579837581</v>
      </c>
      <c r="D21" s="4"/>
      <c r="P21" s="4"/>
    </row>
    <row r="22" spans="2:16" x14ac:dyDescent="0.3">
      <c r="B22" s="4">
        <f>'Power-Speed Relation VI Gear'!E22</f>
        <v>66.429742201551747</v>
      </c>
      <c r="C22" s="4">
        <f t="shared" si="0"/>
        <v>5.758168760045872</v>
      </c>
      <c r="D22" s="4"/>
      <c r="P22" s="4"/>
    </row>
    <row r="23" spans="2:16" x14ac:dyDescent="0.3">
      <c r="B23" s="4">
        <f>'Power-Speed Relation VI Gear'!E23</f>
        <v>67.514140181534486</v>
      </c>
      <c r="C23" s="4">
        <f t="shared" si="0"/>
        <v>6.002822782706521</v>
      </c>
      <c r="D23" s="4"/>
      <c r="P23" s="4"/>
    </row>
    <row r="24" spans="2:16" x14ac:dyDescent="0.3">
      <c r="B24" s="4">
        <f>'Power-Speed Relation VI Gear'!E24</f>
        <v>68.599025969875285</v>
      </c>
      <c r="C24" s="4">
        <f t="shared" si="0"/>
        <v>6.2549100907632837</v>
      </c>
      <c r="D24" s="4"/>
      <c r="P24" s="4"/>
    </row>
    <row r="25" spans="2:16" x14ac:dyDescent="0.3">
      <c r="B25" s="4">
        <f>'Power-Speed Relation VI Gear'!E25</f>
        <v>69.412690311130902</v>
      </c>
      <c r="C25" s="4">
        <f t="shared" si="0"/>
        <v>6.4488533162305917</v>
      </c>
      <c r="D25" s="4"/>
      <c r="P25" s="4"/>
    </row>
    <row r="26" spans="2:16" x14ac:dyDescent="0.3">
      <c r="B26" s="4">
        <f>'Power-Speed Relation VI Gear'!E26</f>
        <v>70.497576099471701</v>
      </c>
      <c r="C26" s="4">
        <f t="shared" si="0"/>
        <v>6.7140423505854283</v>
      </c>
      <c r="D26" s="4"/>
      <c r="P26" s="4"/>
    </row>
    <row r="27" spans="2:16" x14ac:dyDescent="0.3">
      <c r="B27" s="4">
        <f>'Power-Speed Relation VI Gear'!E27</f>
        <v>71.311240440727303</v>
      </c>
      <c r="C27" s="4">
        <f t="shared" si="0"/>
        <v>6.9179470456268257</v>
      </c>
      <c r="D27" s="4"/>
      <c r="P27" s="4"/>
    </row>
    <row r="28" spans="2:16" x14ac:dyDescent="0.3">
      <c r="B28" s="4">
        <f>'Power-Speed Relation VI Gear'!E28</f>
        <v>72.396126229068116</v>
      </c>
      <c r="C28" s="4">
        <f t="shared" si="0"/>
        <v>7.1965982725478428</v>
      </c>
      <c r="D28" s="4"/>
      <c r="P28" s="4"/>
    </row>
    <row r="29" spans="2:16" x14ac:dyDescent="0.3">
      <c r="B29" s="4">
        <f>'Power-Speed Relation VI Gear'!E29</f>
        <v>73.209790570323719</v>
      </c>
      <c r="C29" s="4">
        <f t="shared" si="0"/>
        <v>7.4107347868644116</v>
      </c>
      <c r="D29" s="4"/>
      <c r="P29" s="4"/>
    </row>
    <row r="30" spans="2:16" x14ac:dyDescent="0.3">
      <c r="B30" s="4">
        <f>'Power-Speed Relation VI Gear'!E30</f>
        <v>73.752233464494125</v>
      </c>
      <c r="C30" s="4">
        <f t="shared" si="0"/>
        <v>7.5559715231728939</v>
      </c>
      <c r="D30" s="4"/>
      <c r="P30" s="4"/>
    </row>
    <row r="31" spans="2:16" x14ac:dyDescent="0.3">
      <c r="B31" s="4">
        <f>'Power-Speed Relation VI Gear'!E31</f>
        <v>74.837119252834938</v>
      </c>
      <c r="C31" s="4">
        <f t="shared" si="0"/>
        <v>7.8524609481137544</v>
      </c>
      <c r="D31" s="4"/>
      <c r="P31" s="4"/>
    </row>
    <row r="32" spans="2:16" x14ac:dyDescent="0.3">
      <c r="B32" s="4">
        <f>'Power-Speed Relation VI Gear'!E32</f>
        <v>75.650783594090527</v>
      </c>
      <c r="C32" s="4">
        <f t="shared" si="0"/>
        <v>8.0801499071816156</v>
      </c>
      <c r="D32" s="4"/>
      <c r="P32" s="4"/>
    </row>
    <row r="33" spans="2:16" x14ac:dyDescent="0.3">
      <c r="B33" s="4">
        <f>'Power-Speed Relation VI Gear'!E33</f>
        <v>76.464447935346129</v>
      </c>
      <c r="C33" s="4">
        <f t="shared" si="0"/>
        <v>8.3124556599683288</v>
      </c>
      <c r="D33" s="4"/>
      <c r="P33" s="4"/>
    </row>
    <row r="34" spans="2:16" x14ac:dyDescent="0.3">
      <c r="B34" s="4">
        <f>'Power-Speed Relation VI Gear'!E34</f>
        <v>77.278112276601746</v>
      </c>
      <c r="C34" s="4">
        <f t="shared" si="0"/>
        <v>8.5494278625414477</v>
      </c>
      <c r="D34" s="4"/>
      <c r="P34" s="4"/>
    </row>
    <row r="35" spans="2:16" x14ac:dyDescent="0.3">
      <c r="B35" s="4">
        <f>'Power-Speed Relation VI Gear'!E35</f>
        <v>78.362998064942559</v>
      </c>
      <c r="C35" s="4">
        <f t="shared" si="0"/>
        <v>8.8727355464974806</v>
      </c>
      <c r="D35" s="4"/>
      <c r="P35" s="4"/>
    </row>
    <row r="36" spans="2:16" x14ac:dyDescent="0.3">
      <c r="B36" s="4">
        <f>'Power-Speed Relation VI Gear'!E36</f>
        <v>79.176662406198147</v>
      </c>
      <c r="C36" s="4">
        <f t="shared" si="0"/>
        <v>9.1207892388348633</v>
      </c>
      <c r="D36" s="4"/>
      <c r="P36" s="4"/>
    </row>
    <row r="37" spans="2:16" x14ac:dyDescent="0.3">
      <c r="B37" s="4">
        <f>'Power-Speed Relation VI Gear'!E37</f>
        <v>79.990326747453764</v>
      </c>
      <c r="C37" s="4">
        <f t="shared" si="0"/>
        <v>9.373674901183799</v>
      </c>
      <c r="D37" s="4"/>
      <c r="P37" s="4"/>
    </row>
    <row r="38" spans="2:16" x14ac:dyDescent="0.3">
      <c r="B38" s="4">
        <f>'Power-Speed Relation VI Gear'!E38</f>
        <v>81.346433982879759</v>
      </c>
      <c r="C38" s="4">
        <f t="shared" si="0"/>
        <v>9.8060235845670558</v>
      </c>
      <c r="D38" s="4"/>
      <c r="P38" s="4"/>
    </row>
    <row r="39" spans="2:16" x14ac:dyDescent="0.3">
      <c r="B39" s="4">
        <f>'Power-Speed Relation VI Gear'!E39</f>
        <v>82.702541218305782</v>
      </c>
      <c r="C39" s="4">
        <f t="shared" si="0"/>
        <v>10.252162229593846</v>
      </c>
      <c r="D39" s="4"/>
      <c r="P39" s="4"/>
    </row>
    <row r="40" spans="2:16" x14ac:dyDescent="0.3">
      <c r="B40" s="4">
        <f>'Power-Speed Relation VI Gear'!E40</f>
        <v>83.787427006646595</v>
      </c>
      <c r="C40" s="4">
        <f t="shared" si="0"/>
        <v>10.619156403542076</v>
      </c>
      <c r="D40" s="4"/>
      <c r="P40" s="4"/>
    </row>
    <row r="41" spans="2:16" x14ac:dyDescent="0.3">
      <c r="B41" s="4">
        <f>'Power-Speed Relation VI Gear'!E41</f>
        <v>84.87231279498738</v>
      </c>
      <c r="C41" s="4">
        <f t="shared" si="0"/>
        <v>10.995240985302395</v>
      </c>
      <c r="D41" s="4"/>
      <c r="P41" s="4"/>
    </row>
    <row r="42" spans="2:16" x14ac:dyDescent="0.3">
      <c r="B42" s="4">
        <f>'Power-Speed Relation VI Gear'!E42</f>
        <v>85.957198583328207</v>
      </c>
      <c r="C42" s="4">
        <f t="shared" si="0"/>
        <v>11.38053367814604</v>
      </c>
      <c r="D42" s="4"/>
      <c r="P42" s="4"/>
    </row>
    <row r="43" spans="2:16" x14ac:dyDescent="0.3">
      <c r="B43" s="4">
        <f>'Power-Speed Relation VI Gear'!E43</f>
        <v>86.77086292458381</v>
      </c>
      <c r="C43" s="4">
        <f t="shared" si="0"/>
        <v>11.675616826551273</v>
      </c>
      <c r="D43" s="4"/>
      <c r="P43" s="4"/>
    </row>
    <row r="44" spans="2:16" x14ac:dyDescent="0.3">
      <c r="B44" s="4">
        <f>'Power-Speed Relation VI Gear'!E44</f>
        <v>87.584527265839412</v>
      </c>
      <c r="C44" s="4">
        <f t="shared" si="0"/>
        <v>11.975995401598473</v>
      </c>
      <c r="D44" s="4"/>
      <c r="P44" s="4"/>
    </row>
    <row r="45" spans="2:16" x14ac:dyDescent="0.3">
      <c r="B45" s="4">
        <f>'Power-Speed Relation VI Gear'!E45</f>
        <v>88.12697016000979</v>
      </c>
      <c r="C45" s="4">
        <f t="shared" si="0"/>
        <v>12.179214210168084</v>
      </c>
      <c r="D45" s="4"/>
      <c r="P45" s="4"/>
    </row>
    <row r="46" spans="2:16" x14ac:dyDescent="0.3">
      <c r="B46" s="4">
        <f>'Power-Speed Relation VI Gear'!E46</f>
        <v>88.669413054180225</v>
      </c>
      <c r="C46" s="4">
        <f t="shared" si="0"/>
        <v>12.384823323961962</v>
      </c>
      <c r="D46" s="4"/>
      <c r="P46" s="4"/>
    </row>
    <row r="47" spans="2:16" x14ac:dyDescent="0.3">
      <c r="B47" s="4">
        <f>'Power-Speed Relation VI Gear'!E47</f>
        <v>89.211855948350617</v>
      </c>
      <c r="C47" s="4">
        <f t="shared" si="0"/>
        <v>12.592837455888956</v>
      </c>
      <c r="D47" s="4"/>
      <c r="P47" s="4"/>
    </row>
    <row r="48" spans="2:16" x14ac:dyDescent="0.3">
      <c r="B48" s="4">
        <f>'Power-Speed Relation VI Gear'!E48</f>
        <v>90.025520289606234</v>
      </c>
      <c r="C48" s="4">
        <f t="shared" si="0"/>
        <v>12.909400247267332</v>
      </c>
      <c r="D48" s="4"/>
      <c r="P48" s="4"/>
    </row>
    <row r="49" spans="2:16" x14ac:dyDescent="0.3">
      <c r="B49" s="4">
        <f>'Power-Speed Relation VI Gear'!E49</f>
        <v>90.296741736691416</v>
      </c>
      <c r="C49" s="4">
        <f t="shared" si="0"/>
        <v>13.016139625777997</v>
      </c>
      <c r="D49" s="4"/>
      <c r="P49" s="4"/>
    </row>
    <row r="50" spans="2:16" x14ac:dyDescent="0.3">
      <c r="B50" s="4">
        <f>'Power-Speed Relation VI Gear'!E50</f>
        <v>91.110406077947033</v>
      </c>
      <c r="C50" s="4">
        <f t="shared" si="0"/>
        <v>13.340038853054235</v>
      </c>
      <c r="D50" s="4"/>
      <c r="P50" s="4"/>
    </row>
    <row r="51" spans="2:16" x14ac:dyDescent="0.3">
      <c r="B51" s="4">
        <f>'Power-Speed Relation VI Gear'!E51</f>
        <v>92.195291866287832</v>
      </c>
      <c r="C51" s="4">
        <f t="shared" si="0"/>
        <v>13.780562363733953</v>
      </c>
      <c r="D51" s="4"/>
      <c r="P51" s="4"/>
    </row>
    <row r="52" spans="2:16" x14ac:dyDescent="0.3">
      <c r="B52" s="4">
        <f>'Power-Speed Relation VI Gear'!E52</f>
        <v>93.008956207543449</v>
      </c>
      <c r="C52" s="4">
        <f t="shared" si="0"/>
        <v>14.11751277145374</v>
      </c>
      <c r="D52" s="4"/>
      <c r="P52" s="4"/>
    </row>
    <row r="53" spans="2:16" x14ac:dyDescent="0.3">
      <c r="B53" s="4">
        <f>'Power-Speed Relation VI Gear'!E53</f>
        <v>93.822620548799051</v>
      </c>
      <c r="C53" s="4">
        <f t="shared" si="0"/>
        <v>14.46013930233334</v>
      </c>
      <c r="D53" s="4"/>
      <c r="P53" s="4"/>
    </row>
    <row r="54" spans="2:16" x14ac:dyDescent="0.3">
      <c r="B54" s="4">
        <f>'Power-Speed Relation VI Gear'!E54</f>
        <v>94.90750633713985</v>
      </c>
      <c r="C54" s="4">
        <f t="shared" si="0"/>
        <v>14.925890027056649</v>
      </c>
      <c r="D54" s="4"/>
      <c r="P54" s="4"/>
    </row>
    <row r="55" spans="2:16" x14ac:dyDescent="0.3">
      <c r="B55" s="4">
        <f>'Power-Speed Relation VI Gear'!E55</f>
        <v>95.449949231310256</v>
      </c>
      <c r="C55" s="4">
        <f t="shared" si="0"/>
        <v>15.162619357842132</v>
      </c>
      <c r="D55" s="4"/>
      <c r="P55" s="4"/>
    </row>
    <row r="56" spans="2:16" x14ac:dyDescent="0.3">
      <c r="B56" s="4">
        <f>'Power-Speed Relation VI Gear'!E56</f>
        <v>96.263613572565873</v>
      </c>
      <c r="C56" s="4">
        <f t="shared" si="0"/>
        <v>15.522572194606427</v>
      </c>
      <c r="D56" s="4"/>
      <c r="P56" s="4"/>
    </row>
    <row r="57" spans="2:16" x14ac:dyDescent="0.3">
      <c r="B57" s="4">
        <f>'Power-Speed Relation VI Gear'!E57</f>
        <v>96.806056466736266</v>
      </c>
      <c r="C57" s="4">
        <f t="shared" si="0"/>
        <v>15.765801435832154</v>
      </c>
      <c r="D57" s="4"/>
      <c r="P57" s="4"/>
    </row>
    <row r="58" spans="2:16" x14ac:dyDescent="0.3">
      <c r="B58" s="4">
        <f>'Power-Speed Relation VI Gear'!E58</f>
        <v>97.619720807991882</v>
      </c>
      <c r="C58" s="4">
        <f t="shared" si="0"/>
        <v>16.135573105017279</v>
      </c>
      <c r="D58" s="4"/>
      <c r="P58" s="4"/>
    </row>
    <row r="59" spans="2:16" x14ac:dyDescent="0.3">
      <c r="B59" s="4">
        <f>'Power-Speed Relation VI Gear'!E59</f>
        <v>98.433385149247471</v>
      </c>
      <c r="C59" s="4">
        <f t="shared" si="0"/>
        <v>16.511302281744964</v>
      </c>
      <c r="D59" s="4"/>
      <c r="P59" s="4"/>
    </row>
    <row r="60" spans="2:16" x14ac:dyDescent="0.3">
      <c r="B60" s="4">
        <f>'Power-Speed Relation VI Gear'!E60</f>
        <v>99.247049490503073</v>
      </c>
      <c r="C60" s="4">
        <f t="shared" si="0"/>
        <v>16.893038622082766</v>
      </c>
      <c r="D60" s="4"/>
      <c r="P60" s="4"/>
    </row>
    <row r="61" spans="2:16" x14ac:dyDescent="0.3">
      <c r="B61" s="4">
        <f>'Power-Speed Relation VI Gear'!E61</f>
        <v>100.06071383175869</v>
      </c>
      <c r="C61" s="4">
        <f t="shared" si="0"/>
        <v>17.280831782098218</v>
      </c>
      <c r="D61" s="4"/>
      <c r="P61" s="4"/>
    </row>
    <row r="62" spans="2:16" x14ac:dyDescent="0.3">
      <c r="B62" s="4">
        <f>'Power-Speed Relation VI Gear'!E62</f>
        <v>100.87437817301428</v>
      </c>
      <c r="C62" s="4">
        <f t="shared" si="0"/>
        <v>17.674731417858865</v>
      </c>
      <c r="D62" s="4"/>
      <c r="P62" s="4"/>
    </row>
    <row r="63" spans="2:16" x14ac:dyDescent="0.3">
      <c r="B63" s="4">
        <f>'Power-Speed Relation VI Gear'!E63</f>
        <v>101.68804251426991</v>
      </c>
      <c r="C63" s="4">
        <f t="shared" si="0"/>
        <v>18.074787185432264</v>
      </c>
      <c r="D63" s="4"/>
      <c r="P63" s="4"/>
    </row>
    <row r="64" spans="2:16" x14ac:dyDescent="0.3">
      <c r="B64" s="4">
        <f>'Power-Speed Relation VI Gear'!E64</f>
        <v>102.77292830261069</v>
      </c>
      <c r="C64" s="4">
        <f t="shared" si="0"/>
        <v>18.617856905874085</v>
      </c>
      <c r="D64" s="4"/>
      <c r="P64" s="4"/>
    </row>
    <row r="65" spans="2:16" x14ac:dyDescent="0.3">
      <c r="B65" s="4">
        <f>'Power-Speed Relation VI Gear'!E65</f>
        <v>103.58659264386633</v>
      </c>
      <c r="C65" s="4">
        <f t="shared" si="0"/>
        <v>19.032470087939899</v>
      </c>
      <c r="D65" s="4"/>
      <c r="P65" s="4"/>
    </row>
    <row r="66" spans="2:16" x14ac:dyDescent="0.3">
      <c r="B66" s="4">
        <f>'Power-Speed Relation VI Gear'!E66</f>
        <v>104.67147843220712</v>
      </c>
      <c r="C66" s="4">
        <f t="shared" si="0"/>
        <v>19.595129927505646</v>
      </c>
      <c r="D66" s="4"/>
      <c r="P66" s="4"/>
    </row>
    <row r="67" spans="2:16" x14ac:dyDescent="0.3">
      <c r="B67" s="4">
        <f>'Power-Speed Relation VI Gear'!E67</f>
        <v>105.75636422054791</v>
      </c>
      <c r="C67" s="4">
        <f t="shared" si="0"/>
        <v>20.169145962854415</v>
      </c>
      <c r="D67" s="4"/>
      <c r="P67" s="4"/>
    </row>
    <row r="68" spans="2:16" x14ac:dyDescent="0.3">
      <c r="B68" s="4">
        <f>'Power-Speed Relation VI Gear'!E68</f>
        <v>107.11247145597393</v>
      </c>
      <c r="C68" s="4">
        <f t="shared" si="0"/>
        <v>20.902814970937509</v>
      </c>
      <c r="D68" s="4"/>
      <c r="P68" s="4"/>
    </row>
    <row r="69" spans="2:16" x14ac:dyDescent="0.3">
      <c r="B69" s="4">
        <f>'Power-Speed Relation VI Gear'!E69</f>
        <v>107.65491435014432</v>
      </c>
      <c r="C69" s="4">
        <f t="shared" ref="C69:C132" si="1">(50*B69/3.6+0.5272*(B69/3.6)^3)/1000/0.7355</f>
        <v>21.201353900188131</v>
      </c>
      <c r="D69" s="4"/>
      <c r="P69" s="4"/>
    </row>
    <row r="70" spans="2:16" x14ac:dyDescent="0.3">
      <c r="B70" s="4">
        <f>'Power-Speed Relation VI Gear'!E70</f>
        <v>108.46857869139996</v>
      </c>
      <c r="C70" s="4">
        <f t="shared" si="1"/>
        <v>21.654641835494463</v>
      </c>
      <c r="D70" s="4"/>
      <c r="P70" s="4"/>
    </row>
    <row r="71" spans="2:16" x14ac:dyDescent="0.3">
      <c r="B71" s="4">
        <f>'Power-Speed Relation VI Gear'!E71</f>
        <v>109.28224303265554</v>
      </c>
      <c r="C71" s="4">
        <f t="shared" si="1"/>
        <v>22.114549359243931</v>
      </c>
      <c r="D71" s="4"/>
      <c r="P71" s="4"/>
    </row>
    <row r="72" spans="2:16" x14ac:dyDescent="0.3">
      <c r="B72" s="4">
        <f>'Power-Speed Relation VI Gear'!E72</f>
        <v>110.36712882099637</v>
      </c>
      <c r="C72" s="4">
        <f t="shared" si="1"/>
        <v>22.738142353790082</v>
      </c>
      <c r="D72" s="4"/>
      <c r="P72" s="4"/>
    </row>
    <row r="73" spans="2:16" x14ac:dyDescent="0.3">
      <c r="B73" s="4">
        <f>'Power-Speed Relation VI Gear'!E73</f>
        <v>111.72323605642235</v>
      </c>
      <c r="C73" s="4">
        <f t="shared" si="1"/>
        <v>23.534486021826762</v>
      </c>
      <c r="D73" s="4"/>
      <c r="P73" s="4"/>
    </row>
    <row r="74" spans="2:16" x14ac:dyDescent="0.3">
      <c r="B74" s="4">
        <f>'Power-Speed Relation VI Gear'!E74</f>
        <v>112.80812184476318</v>
      </c>
      <c r="C74" s="4">
        <f t="shared" si="1"/>
        <v>24.185186347001125</v>
      </c>
      <c r="D74" s="4"/>
      <c r="P74" s="4"/>
    </row>
    <row r="75" spans="2:16" x14ac:dyDescent="0.3">
      <c r="B75" s="4">
        <f>'Power-Speed Relation VI Gear'!E75</f>
        <v>114.43545052727436</v>
      </c>
      <c r="C75" s="4">
        <f t="shared" si="1"/>
        <v>25.184221686379544</v>
      </c>
      <c r="D75" s="4"/>
      <c r="P75" s="4"/>
    </row>
    <row r="76" spans="2:16" x14ac:dyDescent="0.3">
      <c r="B76" s="4">
        <f>'Power-Speed Relation VI Gear'!E76</f>
        <v>115.52033631561518</v>
      </c>
      <c r="C76" s="4">
        <f t="shared" si="1"/>
        <v>25.865740130980324</v>
      </c>
      <c r="D76" s="4"/>
      <c r="P76" s="4"/>
    </row>
    <row r="77" spans="2:16" x14ac:dyDescent="0.3">
      <c r="B77" s="4">
        <f>'Power-Speed Relation VI Gear'!E77</f>
        <v>116.60522210395598</v>
      </c>
      <c r="C77" s="4">
        <f t="shared" si="1"/>
        <v>26.559791804076294</v>
      </c>
      <c r="D77" s="4"/>
      <c r="P77" s="4"/>
    </row>
    <row r="78" spans="2:16" x14ac:dyDescent="0.3">
      <c r="B78" s="4">
        <f>'Power-Speed Relation VI Gear'!E78</f>
        <v>117.41888644521161</v>
      </c>
      <c r="C78" s="4">
        <f t="shared" si="1"/>
        <v>27.088626295972347</v>
      </c>
      <c r="D78" s="4"/>
      <c r="P78" s="4"/>
    </row>
    <row r="79" spans="2:16" x14ac:dyDescent="0.3">
      <c r="B79" s="4">
        <f>'Power-Speed Relation VI Gear'!E79</f>
        <v>118.2325507864672</v>
      </c>
      <c r="C79" s="4">
        <f t="shared" si="1"/>
        <v>27.624626593054536</v>
      </c>
      <c r="D79" s="4"/>
      <c r="P79" s="4"/>
    </row>
    <row r="80" spans="2:16" x14ac:dyDescent="0.3">
      <c r="B80" s="4">
        <f>'Power-Speed Relation VI Gear'!E80</f>
        <v>119.31743657480801</v>
      </c>
      <c r="C80" s="4">
        <f t="shared" si="1"/>
        <v>28.350526289200054</v>
      </c>
      <c r="D80" s="4"/>
      <c r="P80" s="4"/>
    </row>
    <row r="81" spans="2:16" x14ac:dyDescent="0.3">
      <c r="B81" s="4">
        <f>'Power-Speed Relation VI Gear'!E81</f>
        <v>120.9447652573192</v>
      </c>
      <c r="C81" s="4">
        <f t="shared" si="1"/>
        <v>29.463684846836468</v>
      </c>
      <c r="D81" s="4"/>
      <c r="P81" s="4"/>
    </row>
    <row r="82" spans="2:16" x14ac:dyDescent="0.3">
      <c r="B82" s="4">
        <f>'Power-Speed Relation VI Gear'!E82</f>
        <v>122.84331538691563</v>
      </c>
      <c r="C82" s="4">
        <f t="shared" si="1"/>
        <v>30.799712685889578</v>
      </c>
      <c r="D82" s="4"/>
      <c r="P82" s="4"/>
    </row>
    <row r="83" spans="2:16" x14ac:dyDescent="0.3">
      <c r="B83" s="4">
        <f>'Power-Speed Relation VI Gear'!E83</f>
        <v>124.47064406942685</v>
      </c>
      <c r="C83" s="4">
        <f t="shared" si="1"/>
        <v>31.977341827692289</v>
      </c>
      <c r="D83" s="4"/>
      <c r="P83" s="4"/>
    </row>
    <row r="84" spans="2:16" x14ac:dyDescent="0.3">
      <c r="B84" s="4">
        <f>'Power-Speed Relation VI Gear'!E84</f>
        <v>126.36919419902326</v>
      </c>
      <c r="C84" s="4">
        <f t="shared" si="1"/>
        <v>33.389673183974679</v>
      </c>
      <c r="D84" s="4"/>
      <c r="P84" s="4"/>
    </row>
    <row r="85" spans="2:16" x14ac:dyDescent="0.3">
      <c r="B85" s="4">
        <f>'Power-Speed Relation VI Gear'!E85</f>
        <v>127.99652288153445</v>
      </c>
      <c r="C85" s="4">
        <f t="shared" si="1"/>
        <v>34.633637771147008</v>
      </c>
      <c r="D85" s="4"/>
      <c r="P85" s="4"/>
    </row>
    <row r="86" spans="2:16" x14ac:dyDescent="0.3">
      <c r="B86" s="4">
        <f>'Power-Speed Relation VI Gear'!E86</f>
        <v>129.89507301113088</v>
      </c>
      <c r="C86" s="4">
        <f t="shared" si="1"/>
        <v>36.124448316062626</v>
      </c>
      <c r="D86" s="4"/>
      <c r="P86" s="4"/>
    </row>
    <row r="87" spans="2:16" x14ac:dyDescent="0.3">
      <c r="B87" s="4">
        <f>'Power-Speed Relation VI Gear'!E87</f>
        <v>131.79362314072728</v>
      </c>
      <c r="C87" s="4">
        <f t="shared" si="1"/>
        <v>37.658418051297119</v>
      </c>
      <c r="D87" s="4"/>
      <c r="P87" s="4"/>
    </row>
    <row r="88" spans="2:16" x14ac:dyDescent="0.3">
      <c r="B88" s="4">
        <f>'Power-Speed Relation VI Gear'!E88</f>
        <v>134.23461616449413</v>
      </c>
      <c r="C88" s="4">
        <f t="shared" si="1"/>
        <v>39.695097630230485</v>
      </c>
      <c r="D88" s="4"/>
      <c r="P88" s="4"/>
    </row>
    <row r="89" spans="2:16" x14ac:dyDescent="0.3">
      <c r="B89" s="4">
        <f>'Power-Speed Relation VI Gear'!E89</f>
        <v>136.4043877411757</v>
      </c>
      <c r="C89" s="4">
        <f t="shared" si="1"/>
        <v>41.567333133771648</v>
      </c>
      <c r="D89" s="4"/>
      <c r="P89" s="4"/>
    </row>
    <row r="90" spans="2:16" x14ac:dyDescent="0.3">
      <c r="B90" s="4">
        <f>'Power-Speed Relation VI Gear'!E90</f>
        <v>138.30293787077213</v>
      </c>
      <c r="C90" s="4">
        <f t="shared" si="1"/>
        <v>43.254066287661487</v>
      </c>
      <c r="D90" s="4"/>
      <c r="P90" s="4"/>
    </row>
    <row r="91" spans="2:16" x14ac:dyDescent="0.3">
      <c r="B91" s="4">
        <f>'Power-Speed Relation VI Gear'!E91</f>
        <v>139.93026655328333</v>
      </c>
      <c r="C91" s="4">
        <f t="shared" si="1"/>
        <v>44.736388334599717</v>
      </c>
      <c r="D91" s="4"/>
      <c r="P91" s="4"/>
    </row>
    <row r="92" spans="2:16" x14ac:dyDescent="0.3">
      <c r="B92" s="4">
        <f>'Power-Speed Relation VI Gear'!E92</f>
        <v>141.01515234162414</v>
      </c>
      <c r="C92" s="4">
        <f t="shared" si="1"/>
        <v>45.743555451165669</v>
      </c>
      <c r="D92" s="4"/>
      <c r="P92" s="4"/>
    </row>
    <row r="93" spans="2:16" x14ac:dyDescent="0.3">
      <c r="B93" s="4">
        <f>'Power-Speed Relation VI Gear'!E93</f>
        <v>142.64248102413538</v>
      </c>
      <c r="C93" s="4">
        <f t="shared" si="1"/>
        <v>47.283029012103356</v>
      </c>
      <c r="D93" s="4"/>
      <c r="P93" s="4"/>
    </row>
    <row r="94" spans="2:16" x14ac:dyDescent="0.3">
      <c r="B94" s="4">
        <f>'Power-Speed Relation VI Gear'!E94</f>
        <v>144.54103115373178</v>
      </c>
      <c r="C94" s="4">
        <f t="shared" si="1"/>
        <v>49.123118728558438</v>
      </c>
      <c r="D94" s="4"/>
      <c r="P94" s="4"/>
    </row>
    <row r="95" spans="2:16" x14ac:dyDescent="0.3">
      <c r="B95" s="4">
        <f>'Power-Speed Relation VI Gear'!E95</f>
        <v>146.9820241774986</v>
      </c>
      <c r="C95" s="4">
        <f t="shared" si="1"/>
        <v>51.559604700955283</v>
      </c>
      <c r="D95" s="4"/>
      <c r="P95" s="4"/>
    </row>
    <row r="96" spans="2:16" x14ac:dyDescent="0.3">
      <c r="B96" s="4">
        <f>'Power-Speed Relation VI Gear'!E96</f>
        <v>148.33813141292458</v>
      </c>
      <c r="C96" s="4">
        <f t="shared" si="1"/>
        <v>52.94800543225265</v>
      </c>
      <c r="D96" s="4"/>
      <c r="P96" s="4"/>
    </row>
    <row r="97" spans="2:16" x14ac:dyDescent="0.3">
      <c r="B97" s="4">
        <f>'Power-Speed Relation VI Gear'!E97</f>
        <v>150.50790298960621</v>
      </c>
      <c r="C97" s="4">
        <f t="shared" si="1"/>
        <v>55.221846931697293</v>
      </c>
      <c r="D97" s="4"/>
      <c r="P97" s="4"/>
    </row>
    <row r="98" spans="2:16" x14ac:dyDescent="0.3">
      <c r="B98" s="4">
        <f>'Power-Speed Relation VI Gear'!E98</f>
        <v>152.67718675792975</v>
      </c>
      <c r="C98" s="4">
        <f t="shared" si="1"/>
        <v>57.560471766102395</v>
      </c>
      <c r="D98" s="4"/>
      <c r="P98" s="4"/>
    </row>
    <row r="99" spans="2:16" x14ac:dyDescent="0.3">
      <c r="B99" s="4">
        <f>'Power-Speed Relation VI Gear'!E99</f>
        <v>154.57573688752615</v>
      </c>
      <c r="C99" s="4">
        <f t="shared" si="1"/>
        <v>59.66154231557249</v>
      </c>
      <c r="D99" s="4"/>
      <c r="P99" s="4"/>
    </row>
    <row r="100" spans="2:16" x14ac:dyDescent="0.3">
      <c r="B100" s="4">
        <f>'Power-Speed Relation VI Gear'!E100</f>
        <v>156.47428701712255</v>
      </c>
      <c r="C100" s="4">
        <f t="shared" si="1"/>
        <v>61.813972500880659</v>
      </c>
      <c r="D100" s="4"/>
      <c r="P100" s="4"/>
    </row>
    <row r="101" spans="2:16" x14ac:dyDescent="0.3">
      <c r="B101" s="4">
        <f>'Power-Speed Relation VI Gear'!E101</f>
        <v>158.6440585938042</v>
      </c>
      <c r="C101" s="4">
        <f t="shared" si="1"/>
        <v>64.337591272656908</v>
      </c>
      <c r="D101" s="4"/>
      <c r="P101" s="4"/>
    </row>
    <row r="102" spans="2:16" x14ac:dyDescent="0.3">
      <c r="B102" s="4">
        <f>'Power-Speed Relation VI Gear'!E102</f>
        <v>160.8138301704858</v>
      </c>
      <c r="C102" s="4">
        <f t="shared" si="1"/>
        <v>66.930057566840929</v>
      </c>
      <c r="D102" s="4"/>
      <c r="P102" s="4"/>
    </row>
    <row r="103" spans="2:16" x14ac:dyDescent="0.3">
      <c r="B103" s="4">
        <f>'Power-Speed Relation VI Gear'!E103</f>
        <v>163.25482319425262</v>
      </c>
      <c r="C103" s="4">
        <f t="shared" si="1"/>
        <v>69.930048886854166</v>
      </c>
      <c r="D103" s="4"/>
      <c r="P103" s="4"/>
    </row>
    <row r="104" spans="2:16" x14ac:dyDescent="0.3">
      <c r="B104" s="4">
        <f>'Power-Speed Relation VI Gear'!E104</f>
        <v>165.42459477093422</v>
      </c>
      <c r="C104" s="4">
        <f t="shared" si="1"/>
        <v>72.671942659296477</v>
      </c>
      <c r="D104" s="4"/>
      <c r="P104" s="4"/>
    </row>
    <row r="105" spans="2:16" x14ac:dyDescent="0.3">
      <c r="B105" s="4">
        <f>'Power-Speed Relation VI Gear'!E105</f>
        <v>167.32314490053062</v>
      </c>
      <c r="C105" s="4">
        <f t="shared" si="1"/>
        <v>75.129957845537163</v>
      </c>
      <c r="D105" s="4"/>
      <c r="P105" s="4"/>
    </row>
    <row r="106" spans="2:16" x14ac:dyDescent="0.3">
      <c r="B106" s="4">
        <f>'Power-Speed Relation VI Gear'!E106</f>
        <v>169.76413792429747</v>
      </c>
      <c r="C106" s="4">
        <f t="shared" si="1"/>
        <v>78.372042142915561</v>
      </c>
      <c r="D106" s="4"/>
      <c r="P106" s="4"/>
    </row>
    <row r="107" spans="2:16" x14ac:dyDescent="0.3">
      <c r="B107" s="4">
        <f>'Power-Speed Relation VI Gear'!E107</f>
        <v>171.39146660680868</v>
      </c>
      <c r="C107" s="4">
        <f t="shared" si="1"/>
        <v>80.585150493197119</v>
      </c>
      <c r="D107" s="4"/>
      <c r="P107" s="4"/>
    </row>
    <row r="108" spans="2:16" x14ac:dyDescent="0.3">
      <c r="B108" s="4">
        <f>'Power-Speed Relation VI Gear'!E108</f>
        <v>173.5612381834903</v>
      </c>
      <c r="C108" s="4">
        <f t="shared" si="1"/>
        <v>83.601112416282987</v>
      </c>
      <c r="D108" s="4"/>
      <c r="P108" s="4"/>
    </row>
    <row r="109" spans="2:16" x14ac:dyDescent="0.3">
      <c r="B109" s="4">
        <f>'Power-Speed Relation VI Gear'!E109</f>
        <v>175.4597883130867</v>
      </c>
      <c r="C109" s="4">
        <f t="shared" si="1"/>
        <v>86.301833838276949</v>
      </c>
      <c r="D109" s="4"/>
      <c r="P109" s="4"/>
    </row>
    <row r="110" spans="2:16" x14ac:dyDescent="0.3">
      <c r="B110" s="4">
        <f>'Power-Speed Relation VI Gear'!E110</f>
        <v>177.6295598897683</v>
      </c>
      <c r="C110" s="4">
        <f t="shared" si="1"/>
        <v>89.459795443439106</v>
      </c>
      <c r="D110" s="4"/>
      <c r="P110" s="4"/>
    </row>
    <row r="111" spans="2:16" x14ac:dyDescent="0.3">
      <c r="B111" s="4">
        <f>'Power-Speed Relation VI Gear'!E111</f>
        <v>179.52811001936473</v>
      </c>
      <c r="C111" s="4">
        <f t="shared" si="1"/>
        <v>92.286214889219863</v>
      </c>
      <c r="D111" s="4"/>
      <c r="P111" s="4"/>
    </row>
    <row r="112" spans="2:16" x14ac:dyDescent="0.3">
      <c r="B112" s="4">
        <f>'Power-Speed Relation VI Gear'!E112</f>
        <v>180.88421725479071</v>
      </c>
      <c r="C112" s="4">
        <f t="shared" si="1"/>
        <v>94.341569768222286</v>
      </c>
      <c r="D112" s="4"/>
      <c r="P112" s="4"/>
    </row>
    <row r="113" spans="2:16" x14ac:dyDescent="0.3">
      <c r="B113" s="4">
        <f>'Power-Speed Relation VI Gear'!E113</f>
        <v>181.69788159604636</v>
      </c>
      <c r="C113" s="4">
        <f t="shared" si="1"/>
        <v>95.589486580961278</v>
      </c>
      <c r="D113" s="4"/>
      <c r="P113" s="4"/>
    </row>
    <row r="114" spans="2:16" x14ac:dyDescent="0.3">
      <c r="B114" s="4">
        <f>'Power-Speed Relation VI Gear'!E114</f>
        <v>183.05398883147234</v>
      </c>
      <c r="C114" s="4">
        <f t="shared" si="1"/>
        <v>97.694013800935238</v>
      </c>
      <c r="D114" s="4"/>
      <c r="P114" s="4"/>
    </row>
    <row r="115" spans="2:16" x14ac:dyDescent="0.3">
      <c r="B115" s="4">
        <f>'Power-Speed Relation VI Gear'!E115</f>
        <v>184.95253896106877</v>
      </c>
      <c r="C115" s="4">
        <f t="shared" si="1"/>
        <v>100.69253644011636</v>
      </c>
      <c r="D115" s="4"/>
      <c r="P115" s="4"/>
    </row>
    <row r="116" spans="2:16" x14ac:dyDescent="0.3">
      <c r="B116" s="4">
        <f>'Power-Speed Relation VI Gear'!E116</f>
        <v>186.03742474940952</v>
      </c>
      <c r="C116" s="4">
        <f t="shared" si="1"/>
        <v>102.43352849199758</v>
      </c>
      <c r="D116" s="4"/>
      <c r="P116" s="4"/>
    </row>
    <row r="117" spans="2:16" x14ac:dyDescent="0.3">
      <c r="B117" s="4">
        <f>'Power-Speed Relation VI Gear'!E117</f>
        <v>187.66475343192076</v>
      </c>
      <c r="C117" s="4">
        <f t="shared" si="1"/>
        <v>105.08289814246726</v>
      </c>
      <c r="D117" s="4"/>
      <c r="P117" s="4"/>
    </row>
    <row r="118" spans="2:16" x14ac:dyDescent="0.3">
      <c r="B118" s="4">
        <f>'Power-Speed Relation VI Gear'!E118</f>
        <v>189.83452500860236</v>
      </c>
      <c r="C118" s="4">
        <f t="shared" si="1"/>
        <v>108.68672122087612</v>
      </c>
      <c r="D118" s="4"/>
      <c r="P118" s="4"/>
    </row>
    <row r="119" spans="2:16" x14ac:dyDescent="0.3">
      <c r="B119" s="4">
        <f>'Power-Speed Relation VI Gear'!E119</f>
        <v>192.27551803236921</v>
      </c>
      <c r="C119" s="4">
        <f t="shared" si="1"/>
        <v>112.83954298761974</v>
      </c>
      <c r="D119" s="4"/>
      <c r="P119" s="4"/>
    </row>
    <row r="120" spans="2:16" x14ac:dyDescent="0.3">
      <c r="B120" s="4">
        <f>'Power-Speed Relation VI Gear'!E120</f>
        <v>194.17406816196561</v>
      </c>
      <c r="C120" s="4">
        <f t="shared" si="1"/>
        <v>116.14245919965704</v>
      </c>
      <c r="D120" s="4"/>
      <c r="P120" s="4"/>
    </row>
    <row r="121" spans="2:16" x14ac:dyDescent="0.3">
      <c r="B121" s="4">
        <f>'Power-Speed Relation VI Gear'!E121</f>
        <v>196.61506118573243</v>
      </c>
      <c r="C121" s="4">
        <f t="shared" si="1"/>
        <v>120.4839540177486</v>
      </c>
      <c r="D121" s="4"/>
      <c r="P121" s="4"/>
    </row>
    <row r="122" spans="2:16" x14ac:dyDescent="0.3">
      <c r="B122" s="4">
        <f>'Power-Speed Relation VI Gear'!E122</f>
        <v>198.51361131532886</v>
      </c>
      <c r="C122" s="4">
        <f t="shared" si="1"/>
        <v>123.93526378218701</v>
      </c>
      <c r="D122" s="4"/>
      <c r="P122" s="4"/>
    </row>
    <row r="123" spans="2:16" x14ac:dyDescent="0.3">
      <c r="B123" s="4">
        <f>'Power-Speed Relation VI Gear'!E123</f>
        <v>200.41216144492526</v>
      </c>
      <c r="C123" s="4">
        <f t="shared" si="1"/>
        <v>127.45253206632164</v>
      </c>
      <c r="D123" s="4"/>
      <c r="P123" s="4"/>
    </row>
    <row r="124" spans="2:16" x14ac:dyDescent="0.3">
      <c r="B124" s="4">
        <f>'Power-Speed Relation VI Gear'!E124</f>
        <v>202.31071157452169</v>
      </c>
      <c r="C124" s="4">
        <f t="shared" si="1"/>
        <v>131.03638968612171</v>
      </c>
      <c r="D124" s="4"/>
      <c r="P124" s="4"/>
    </row>
    <row r="125" spans="2:16" x14ac:dyDescent="0.3">
      <c r="B125" s="4">
        <f>'Power-Speed Relation VI Gear'!E125</f>
        <v>204.75170459828848</v>
      </c>
      <c r="C125" s="4">
        <f t="shared" si="1"/>
        <v>135.74306737102603</v>
      </c>
      <c r="D125" s="4"/>
      <c r="P125" s="4"/>
    </row>
    <row r="126" spans="2:16" x14ac:dyDescent="0.3">
      <c r="B126" s="4">
        <f>'Power-Speed Relation VI Gear'!E126</f>
        <v>207.4639190691405</v>
      </c>
      <c r="C126" s="4">
        <f t="shared" si="1"/>
        <v>141.10466470766005</v>
      </c>
      <c r="D126" s="4"/>
      <c r="P126" s="4"/>
    </row>
    <row r="127" spans="2:16" x14ac:dyDescent="0.3">
      <c r="B127" s="4">
        <f>'Power-Speed Relation VI Gear'!E127</f>
        <v>209.3624691987369</v>
      </c>
      <c r="C127" s="4">
        <f t="shared" si="1"/>
        <v>144.94137700382512</v>
      </c>
      <c r="D127" s="4"/>
      <c r="P127" s="4"/>
    </row>
    <row r="128" spans="2:16" x14ac:dyDescent="0.3">
      <c r="B128" s="4">
        <f>'Power-Speed Relation VI Gear'!E128</f>
        <v>211.26101932833333</v>
      </c>
      <c r="C128" s="4">
        <f t="shared" si="1"/>
        <v>148.84765248236758</v>
      </c>
      <c r="D128" s="4"/>
      <c r="P128" s="4"/>
    </row>
    <row r="129" spans="2:16" x14ac:dyDescent="0.3">
      <c r="B129" s="4">
        <f>'Power-Speed Relation VI Gear'!E129</f>
        <v>213.43079090501496</v>
      </c>
      <c r="C129" s="4">
        <f t="shared" si="1"/>
        <v>153.3979559319697</v>
      </c>
      <c r="D129" s="4"/>
      <c r="P129" s="4"/>
    </row>
    <row r="130" spans="2:16" x14ac:dyDescent="0.3">
      <c r="B130" s="4">
        <f>'Power-Speed Relation VI Gear'!E130</f>
        <v>215.87178392878175</v>
      </c>
      <c r="C130" s="4">
        <f t="shared" si="1"/>
        <v>158.62780833695538</v>
      </c>
      <c r="D130" s="4"/>
      <c r="P130" s="4"/>
    </row>
    <row r="131" spans="2:16" x14ac:dyDescent="0.3">
      <c r="B131" s="4">
        <f>'Power-Speed Relation VI Gear'!E131</f>
        <v>217.49911261129293</v>
      </c>
      <c r="C131" s="4">
        <f t="shared" si="1"/>
        <v>162.18016464477938</v>
      </c>
      <c r="D131" s="4"/>
      <c r="P131" s="4"/>
    </row>
    <row r="132" spans="2:16" x14ac:dyDescent="0.3">
      <c r="B132" s="4">
        <f>'Power-Speed Relation VI Gear'!E132</f>
        <v>219.66888418797458</v>
      </c>
      <c r="C132" s="4">
        <f t="shared" si="1"/>
        <v>166.99929887284904</v>
      </c>
      <c r="D132" s="4"/>
      <c r="P132" s="4"/>
    </row>
    <row r="133" spans="2:16" x14ac:dyDescent="0.3">
      <c r="B133" s="4">
        <f>'Power-Speed Relation VI Gear'!E133</f>
        <v>221.56743431757101</v>
      </c>
      <c r="C133" s="4">
        <f t="shared" ref="C133:C193" si="2">(50*B133/3.6+0.5272*(B133/3.6)^3)/1000/0.7355</f>
        <v>171.29421015069772</v>
      </c>
      <c r="D133" s="4"/>
      <c r="P133" s="4"/>
    </row>
    <row r="134" spans="2:16" x14ac:dyDescent="0.3">
      <c r="B134" s="4">
        <f>'Power-Speed Relation VI Gear'!E134</f>
        <v>223.19476300008219</v>
      </c>
      <c r="C134" s="4">
        <f t="shared" si="2"/>
        <v>175.03413302502656</v>
      </c>
      <c r="D134" s="4"/>
      <c r="P134" s="4"/>
    </row>
    <row r="135" spans="2:16" x14ac:dyDescent="0.3">
      <c r="B135" s="4">
        <f>'Power-Speed Relation VI Gear'!E135</f>
        <v>224.8220916825934</v>
      </c>
      <c r="C135" s="4">
        <f t="shared" si="2"/>
        <v>178.82854015614402</v>
      </c>
      <c r="D135" s="4"/>
      <c r="P135" s="4"/>
    </row>
    <row r="136" spans="2:16" x14ac:dyDescent="0.3">
      <c r="B136" s="4">
        <f>'Power-Speed Relation VI Gear'!E136</f>
        <v>226.44942036510463</v>
      </c>
      <c r="C136" s="4">
        <f t="shared" si="2"/>
        <v>182.67782879259059</v>
      </c>
      <c r="D136" s="4"/>
      <c r="P136" s="4"/>
    </row>
    <row r="137" spans="2:16" x14ac:dyDescent="0.3">
      <c r="B137" s="4">
        <f>'Power-Speed Relation VI Gear'!E137</f>
        <v>228.34797049470106</v>
      </c>
      <c r="C137" s="4">
        <f t="shared" si="2"/>
        <v>187.2385596311417</v>
      </c>
      <c r="D137" s="4"/>
      <c r="P137" s="4"/>
    </row>
    <row r="138" spans="2:16" x14ac:dyDescent="0.3">
      <c r="B138" s="4">
        <f>'Power-Speed Relation VI Gear'!E138</f>
        <v>229.70407773012701</v>
      </c>
      <c r="C138" s="4">
        <f t="shared" si="2"/>
        <v>190.54263957563165</v>
      </c>
      <c r="D138" s="4"/>
      <c r="P138" s="4"/>
    </row>
    <row r="139" spans="2:16" x14ac:dyDescent="0.3">
      <c r="B139" s="4">
        <f>'Power-Speed Relation VI Gear'!E139</f>
        <v>231.87384930680867</v>
      </c>
      <c r="C139" s="4">
        <f t="shared" si="2"/>
        <v>195.91025781654065</v>
      </c>
      <c r="D139" s="4"/>
      <c r="P139" s="4"/>
    </row>
    <row r="140" spans="2:16" x14ac:dyDescent="0.3">
      <c r="B140" s="4">
        <f>'Power-Speed Relation VI Gear'!E140</f>
        <v>233.2299565422347</v>
      </c>
      <c r="C140" s="4">
        <f t="shared" si="2"/>
        <v>199.3160593003411</v>
      </c>
      <c r="D140" s="4"/>
      <c r="P140" s="4"/>
    </row>
    <row r="141" spans="2:16" x14ac:dyDescent="0.3">
      <c r="B141" s="4">
        <f>'Power-Speed Relation VI Gear'!E141</f>
        <v>235.1285066718311</v>
      </c>
      <c r="C141" s="4">
        <f t="shared" si="2"/>
        <v>204.15065582165036</v>
      </c>
      <c r="D141" s="4"/>
      <c r="P141" s="4"/>
    </row>
    <row r="142" spans="2:16" x14ac:dyDescent="0.3">
      <c r="B142" s="4">
        <f>'Power-Speed Relation VI Gear'!E142</f>
        <v>237.2982782485127</v>
      </c>
      <c r="C142" s="4">
        <f t="shared" si="2"/>
        <v>209.77160812571859</v>
      </c>
      <c r="D142" s="4"/>
      <c r="P142" s="4"/>
    </row>
    <row r="143" spans="2:16" x14ac:dyDescent="0.3">
      <c r="B143" s="4">
        <f>'Power-Speed Relation VI Gear'!E143</f>
        <v>238.65389767558062</v>
      </c>
      <c r="C143" s="4">
        <f t="shared" si="2"/>
        <v>213.33564906974155</v>
      </c>
      <c r="D143" s="4"/>
      <c r="P143" s="4"/>
    </row>
    <row r="144" spans="2:16" x14ac:dyDescent="0.3">
      <c r="B144" s="4">
        <f>'Power-Speed Relation VI Gear'!E144</f>
        <v>240.55244780517702</v>
      </c>
      <c r="C144" s="4">
        <f t="shared" si="2"/>
        <v>218.39511089007632</v>
      </c>
      <c r="D144" s="4"/>
      <c r="P144" s="4"/>
    </row>
    <row r="145" spans="2:16" x14ac:dyDescent="0.3">
      <c r="B145" s="4">
        <f>'Power-Speed Relation VI Gear'!E145</f>
        <v>242.72221938185871</v>
      </c>
      <c r="C145" s="4">
        <f t="shared" si="2"/>
        <v>224.27525884518664</v>
      </c>
      <c r="D145" s="4"/>
      <c r="P145" s="4"/>
    </row>
    <row r="146" spans="2:16" x14ac:dyDescent="0.3">
      <c r="B146" s="4">
        <f>'Power-Speed Relation VI Gear'!E146</f>
        <v>244.62076951145505</v>
      </c>
      <c r="C146" s="4">
        <f t="shared" si="2"/>
        <v>229.50676400503528</v>
      </c>
      <c r="D146" s="4"/>
      <c r="P146" s="4"/>
    </row>
    <row r="147" spans="2:16" x14ac:dyDescent="0.3">
      <c r="B147" s="4">
        <f>'Power-Speed Relation VI Gear'!E147</f>
        <v>246.51931964105151</v>
      </c>
      <c r="C147" s="4">
        <f t="shared" si="2"/>
        <v>234.81954733889467</v>
      </c>
      <c r="D147" s="4"/>
      <c r="P147" s="4"/>
    </row>
    <row r="148" spans="2:16" x14ac:dyDescent="0.3">
      <c r="B148" s="4">
        <f>'Power-Speed Relation VI Gear'!E148</f>
        <v>248.41786977064785</v>
      </c>
      <c r="C148" s="4">
        <f t="shared" si="2"/>
        <v>240.21423966273343</v>
      </c>
      <c r="D148" s="4"/>
      <c r="P148" s="4"/>
    </row>
    <row r="149" spans="2:16" x14ac:dyDescent="0.3">
      <c r="B149" s="4">
        <f>'Power-Speed Relation VI Gear'!E149</f>
        <v>250.31641990024431</v>
      </c>
      <c r="C149" s="4">
        <f t="shared" si="2"/>
        <v>245.6914717925213</v>
      </c>
      <c r="D149" s="4"/>
      <c r="P149" s="4"/>
    </row>
    <row r="150" spans="2:16" x14ac:dyDescent="0.3">
      <c r="B150" s="4">
        <f>'Power-Speed Relation VI Gear'!E150</f>
        <v>251.94374858275549</v>
      </c>
      <c r="C150" s="4">
        <f t="shared" si="2"/>
        <v>250.45241530661352</v>
      </c>
      <c r="D150" s="4"/>
      <c r="P150" s="4"/>
    </row>
    <row r="151" spans="2:16" x14ac:dyDescent="0.3">
      <c r="B151" s="4">
        <f>'Power-Speed Relation VI Gear'!E151</f>
        <v>254.11352015943714</v>
      </c>
      <c r="C151" s="4">
        <f t="shared" si="2"/>
        <v>256.89607873382016</v>
      </c>
      <c r="D151" s="4"/>
      <c r="P151" s="4"/>
    </row>
    <row r="152" spans="2:16" x14ac:dyDescent="0.3">
      <c r="B152" s="4">
        <f>'Power-Speed Relation VI Gear'!E152</f>
        <v>256.28329173611877</v>
      </c>
      <c r="C152" s="4">
        <f t="shared" si="2"/>
        <v>263.45002102320643</v>
      </c>
      <c r="D152" s="4"/>
      <c r="P152" s="4"/>
    </row>
    <row r="153" spans="2:16" x14ac:dyDescent="0.3">
      <c r="B153" s="4">
        <f>'Power-Speed Relation VI Gear'!E153</f>
        <v>258.18184186571511</v>
      </c>
      <c r="C153" s="4">
        <f t="shared" si="2"/>
        <v>269.27592389878021</v>
      </c>
      <c r="D153" s="4"/>
      <c r="P153" s="4"/>
    </row>
    <row r="154" spans="2:16" x14ac:dyDescent="0.3">
      <c r="B154" s="4">
        <f>'Power-Speed Relation VI Gear'!E154</f>
        <v>260.08039199531157</v>
      </c>
      <c r="C154" s="4">
        <f t="shared" si="2"/>
        <v>275.1876107767161</v>
      </c>
      <c r="D154" s="4"/>
      <c r="P154" s="4"/>
    </row>
    <row r="155" spans="2:16" x14ac:dyDescent="0.3">
      <c r="B155" s="4">
        <f>'Power-Speed Relation VI Gear'!E155</f>
        <v>262.2501635719932</v>
      </c>
      <c r="C155" s="4">
        <f t="shared" si="2"/>
        <v>282.04967519703433</v>
      </c>
      <c r="D155" s="4"/>
      <c r="P155" s="4"/>
    </row>
    <row r="156" spans="2:16" x14ac:dyDescent="0.3">
      <c r="B156" s="4">
        <f>'Power-Speed Relation VI Gear'!E156</f>
        <v>264.41993514867477</v>
      </c>
      <c r="C156" s="4">
        <f t="shared" si="2"/>
        <v>289.02554957766898</v>
      </c>
      <c r="D156" s="4"/>
      <c r="P156" s="4"/>
    </row>
    <row r="157" spans="2:16" x14ac:dyDescent="0.3">
      <c r="B157" s="4">
        <f>'Power-Speed Relation VI Gear'!E157</f>
        <v>266.58970672535639</v>
      </c>
      <c r="C157" s="4">
        <f t="shared" si="2"/>
        <v>296.11617554478954</v>
      </c>
      <c r="D157" s="4"/>
      <c r="P157" s="4"/>
    </row>
    <row r="158" spans="2:16" x14ac:dyDescent="0.3">
      <c r="B158" s="4">
        <f>'Power-Speed Relation VI Gear'!E158</f>
        <v>269.03069974912319</v>
      </c>
      <c r="C158" s="4">
        <f t="shared" si="2"/>
        <v>304.23146619844994</v>
      </c>
      <c r="D158" s="4"/>
      <c r="P158" s="4"/>
    </row>
    <row r="159" spans="2:16" x14ac:dyDescent="0.3">
      <c r="B159" s="4">
        <f>'Power-Speed Relation VI Gear'!E159</f>
        <v>271.20047132580481</v>
      </c>
      <c r="C159" s="4">
        <f t="shared" si="2"/>
        <v>311.56906577999496</v>
      </c>
      <c r="D159" s="4"/>
      <c r="P159" s="4"/>
    </row>
    <row r="160" spans="2:16" x14ac:dyDescent="0.3">
      <c r="B160" s="4">
        <f>'Power-Speed Relation VI Gear'!E160</f>
        <v>273.09902145540121</v>
      </c>
      <c r="C160" s="4">
        <f t="shared" si="2"/>
        <v>318.08597922676472</v>
      </c>
      <c r="D160" s="4"/>
      <c r="P160" s="4"/>
    </row>
    <row r="161" spans="2:16" x14ac:dyDescent="0.3">
      <c r="B161" s="4">
        <f>'Power-Speed Relation VI Gear'!E161</f>
        <v>275.54001447916806</v>
      </c>
      <c r="C161" s="4">
        <f t="shared" si="2"/>
        <v>326.59828907405426</v>
      </c>
      <c r="D161" s="4"/>
      <c r="P161" s="4"/>
    </row>
    <row r="162" spans="2:16" x14ac:dyDescent="0.3">
      <c r="B162" s="4">
        <f>'Power-Speed Relation VI Gear'!E162</f>
        <v>277.1673431616793</v>
      </c>
      <c r="C162" s="4">
        <f t="shared" si="2"/>
        <v>332.35715741933149</v>
      </c>
      <c r="D162" s="4"/>
      <c r="P162" s="4"/>
    </row>
    <row r="163" spans="2:16" x14ac:dyDescent="0.3">
      <c r="B163" s="4">
        <f>'Power-Speed Relation VI Gear'!E163</f>
        <v>279.0658932912757</v>
      </c>
      <c r="C163" s="4">
        <f t="shared" si="2"/>
        <v>339.16137919918964</v>
      </c>
      <c r="D163" s="4"/>
      <c r="P163" s="4"/>
    </row>
    <row r="164" spans="2:16" x14ac:dyDescent="0.3">
      <c r="B164" s="4">
        <f>'Power-Speed Relation VI Gear'!E164</f>
        <v>280.9644434208721</v>
      </c>
      <c r="C164" s="4">
        <f t="shared" si="2"/>
        <v>346.05832395707051</v>
      </c>
      <c r="D164" s="4"/>
      <c r="P164" s="4"/>
    </row>
    <row r="165" spans="2:16" x14ac:dyDescent="0.3">
      <c r="B165" s="4">
        <f>'Power-Speed Relation VI Gear'!E165</f>
        <v>282.59177210338328</v>
      </c>
      <c r="C165" s="4">
        <f t="shared" si="2"/>
        <v>352.04426898321969</v>
      </c>
      <c r="D165" s="4"/>
      <c r="P165" s="4"/>
    </row>
    <row r="166" spans="2:16" x14ac:dyDescent="0.3">
      <c r="B166" s="4">
        <f>'Power-Speed Relation VI Gear'!E166</f>
        <v>284.49032223297974</v>
      </c>
      <c r="C166" s="4">
        <f t="shared" si="2"/>
        <v>359.11508715081629</v>
      </c>
      <c r="D166" s="4"/>
      <c r="P166" s="4"/>
    </row>
    <row r="167" spans="2:16" x14ac:dyDescent="0.3">
      <c r="B167" s="4">
        <f>'Power-Speed Relation VI Gear'!E167</f>
        <v>286.38887236257614</v>
      </c>
      <c r="C167" s="4">
        <f t="shared" si="2"/>
        <v>366.28043062777601</v>
      </c>
      <c r="D167" s="4"/>
      <c r="P167" s="4"/>
    </row>
    <row r="168" spans="2:16" x14ac:dyDescent="0.3">
      <c r="B168" s="4">
        <f>'Power-Speed Relation VI Gear'!E168</f>
        <v>288.2874224921726</v>
      </c>
      <c r="C168" s="4">
        <f t="shared" si="2"/>
        <v>373.54093023006828</v>
      </c>
      <c r="D168" s="4"/>
      <c r="P168" s="4"/>
    </row>
    <row r="169" spans="2:16" x14ac:dyDescent="0.3">
      <c r="B169" s="4">
        <f>'Power-Speed Relation VI Gear'!E169</f>
        <v>290.18597262176894</v>
      </c>
      <c r="C169" s="4">
        <f t="shared" si="2"/>
        <v>380.8972167736618</v>
      </c>
      <c r="D169" s="4"/>
      <c r="P169" s="4"/>
    </row>
    <row r="170" spans="2:16" x14ac:dyDescent="0.3">
      <c r="B170" s="4">
        <f>'Power-Speed Relation VI Gear'!E170</f>
        <v>292.62696564553573</v>
      </c>
      <c r="C170" s="4">
        <f t="shared" si="2"/>
        <v>390.49706282192972</v>
      </c>
      <c r="D170" s="4"/>
      <c r="P170" s="4"/>
    </row>
    <row r="171" spans="2:16" x14ac:dyDescent="0.3">
      <c r="B171" s="4">
        <f>'Power-Speed Relation VI Gear'!E171</f>
        <v>294.25429432804697</v>
      </c>
      <c r="C171" s="4">
        <f t="shared" si="2"/>
        <v>396.98616918828463</v>
      </c>
      <c r="D171" s="4"/>
      <c r="P171" s="4"/>
    </row>
    <row r="172" spans="2:16" x14ac:dyDescent="0.3">
      <c r="B172" s="4">
        <f>'Power-Speed Relation VI Gear'!E172</f>
        <v>296.42406590472859</v>
      </c>
      <c r="C172" s="4">
        <f t="shared" si="2"/>
        <v>405.75011624836293</v>
      </c>
      <c r="D172" s="4"/>
      <c r="P172" s="4"/>
    </row>
    <row r="173" spans="2:16" x14ac:dyDescent="0.3">
      <c r="B173" s="4">
        <f>'Power-Speed Relation VI Gear'!E173</f>
        <v>299.13628037558061</v>
      </c>
      <c r="C173" s="4">
        <f t="shared" si="2"/>
        <v>416.886061225341</v>
      </c>
      <c r="D173" s="4"/>
      <c r="P173" s="4"/>
    </row>
    <row r="174" spans="2:16" x14ac:dyDescent="0.3">
      <c r="B174" s="4">
        <f>'Power-Speed Relation VI Gear'!E174</f>
        <v>302.39093774060308</v>
      </c>
      <c r="C174" s="4">
        <f t="shared" si="2"/>
        <v>430.5171058504414</v>
      </c>
      <c r="D174" s="4"/>
      <c r="P174" s="4"/>
    </row>
    <row r="175" spans="2:16" x14ac:dyDescent="0.3">
      <c r="B175" s="4">
        <f>'Power-Speed Relation VI Gear'!E175</f>
        <v>304.56070931728465</v>
      </c>
      <c r="C175" s="4">
        <f t="shared" si="2"/>
        <v>439.76831031729324</v>
      </c>
      <c r="D175" s="4"/>
    </row>
    <row r="176" spans="2:16" x14ac:dyDescent="0.3">
      <c r="B176" s="4">
        <f>'Power-Speed Relation VI Gear'!E176</f>
        <v>306.18803799979588</v>
      </c>
      <c r="C176" s="4">
        <f t="shared" si="2"/>
        <v>446.79339983109952</v>
      </c>
      <c r="D176" s="4"/>
    </row>
    <row r="177" spans="2:16" x14ac:dyDescent="0.3">
      <c r="B177" s="12">
        <f>'Power-Speed Relation VI Gear'!E177</f>
        <v>307.00170234105144</v>
      </c>
      <c r="C177" s="12">
        <f t="shared" si="2"/>
        <v>450.33394868994418</v>
      </c>
      <c r="D177" s="4"/>
    </row>
    <row r="178" spans="2:16" x14ac:dyDescent="0.3">
      <c r="B178" s="4">
        <f>'Power-Speed Relation VI Gear'!E178</f>
        <v>308.08658812939223</v>
      </c>
      <c r="C178" s="4">
        <f t="shared" si="2"/>
        <v>455.08383336553192</v>
      </c>
      <c r="D178" s="4"/>
    </row>
    <row r="179" spans="2:16" x14ac:dyDescent="0.3">
      <c r="B179" s="4">
        <f>'Power-Speed Relation VI Gear'!E179</f>
        <v>309.17147391773312</v>
      </c>
      <c r="C179" s="4">
        <f t="shared" si="2"/>
        <v>459.86714349440797</v>
      </c>
      <c r="D179" s="4"/>
    </row>
    <row r="180" spans="2:16" x14ac:dyDescent="0.3">
      <c r="B180" s="4">
        <f>'Power-Speed Relation VI Gear'!E180</f>
        <v>309.98513825898868</v>
      </c>
      <c r="C180" s="4">
        <f t="shared" si="2"/>
        <v>463.47663235065909</v>
      </c>
      <c r="D180" s="4"/>
    </row>
    <row r="181" spans="2:16" x14ac:dyDescent="0.3">
      <c r="B181" s="4">
        <f>'Power-Speed Relation VI Gear'!E181</f>
        <v>311.61246694149992</v>
      </c>
      <c r="C181" s="4">
        <f t="shared" si="2"/>
        <v>470.75241276412555</v>
      </c>
      <c r="D181" s="4"/>
    </row>
    <row r="182" spans="2:16" x14ac:dyDescent="0.3">
      <c r="B182" s="4">
        <f>'Power-Speed Relation VI Gear'!E182</f>
        <v>313.23979562401109</v>
      </c>
      <c r="C182" s="4">
        <f t="shared" si="2"/>
        <v>478.10426115266046</v>
      </c>
      <c r="D182" s="4"/>
    </row>
    <row r="183" spans="2:16" x14ac:dyDescent="0.3">
      <c r="B183" s="4">
        <f>'Power-Speed Relation VI Gear'!E183</f>
        <v>314.59590285943716</v>
      </c>
      <c r="C183" s="4">
        <f t="shared" si="2"/>
        <v>484.28919555259967</v>
      </c>
      <c r="D183" s="4"/>
    </row>
    <row r="184" spans="2:16" x14ac:dyDescent="0.3">
      <c r="B184" s="4">
        <f>'Power-Speed Relation VI Gear'!E184</f>
        <v>315.95201009486311</v>
      </c>
      <c r="C184" s="4">
        <f t="shared" si="2"/>
        <v>490.52746069146895</v>
      </c>
      <c r="D184" s="4"/>
    </row>
    <row r="185" spans="2:16" x14ac:dyDescent="0.3">
      <c r="B185" s="4">
        <f>'Power-Speed Relation VI Gear'!E185</f>
        <v>317.85056022445951</v>
      </c>
      <c r="C185" s="4">
        <f t="shared" si="2"/>
        <v>499.35106523632834</v>
      </c>
      <c r="D185" s="4"/>
    </row>
    <row r="186" spans="2:16" x14ac:dyDescent="0.3">
      <c r="B186" s="4">
        <f>'Power-Speed Relation VI Gear'!E186</f>
        <v>319.20666745988552</v>
      </c>
      <c r="C186" s="4">
        <f t="shared" si="2"/>
        <v>505.71826209657246</v>
      </c>
      <c r="D186" s="4"/>
    </row>
    <row r="187" spans="2:16" x14ac:dyDescent="0.3">
      <c r="B187" s="4">
        <f>'Power-Speed Relation VI Gear'!E187</f>
        <v>320.83399614239676</v>
      </c>
      <c r="C187" s="4">
        <f t="shared" si="2"/>
        <v>513.43034687724003</v>
      </c>
      <c r="D187" s="4"/>
    </row>
    <row r="188" spans="2:16" x14ac:dyDescent="0.3">
      <c r="B188" s="4">
        <f>'Power-Speed Relation VI Gear'!E188</f>
        <v>322.46132482490799</v>
      </c>
      <c r="C188" s="4">
        <f t="shared" si="2"/>
        <v>521.22075070803839</v>
      </c>
      <c r="D188" s="4"/>
      <c r="P188" s="4"/>
    </row>
    <row r="189" spans="2:16" x14ac:dyDescent="0.3">
      <c r="B189" s="4">
        <f>'Power-Speed Relation VI Gear'!E189</f>
        <v>324.08816569906111</v>
      </c>
      <c r="C189" s="4">
        <f t="shared" si="2"/>
        <v>529.08750015440262</v>
      </c>
      <c r="D189" s="4"/>
      <c r="P189" s="4"/>
    </row>
    <row r="190" spans="2:16" x14ac:dyDescent="0.3">
      <c r="B190" s="4">
        <f>'Power-Speed Relation VI Gear'!E190</f>
        <v>325.98671582865757</v>
      </c>
      <c r="C190" s="4">
        <f t="shared" si="2"/>
        <v>538.36813118332793</v>
      </c>
      <c r="D190" s="4"/>
      <c r="P190" s="4"/>
    </row>
    <row r="191" spans="2:16" x14ac:dyDescent="0.3">
      <c r="B191" s="4">
        <f>'Power-Speed Relation VI Gear'!E191</f>
        <v>327.34282306408346</v>
      </c>
      <c r="C191" s="4">
        <f t="shared" si="2"/>
        <v>545.06343063520887</v>
      </c>
      <c r="D191" s="4"/>
      <c r="P191" s="4"/>
    </row>
    <row r="192" spans="2:16" x14ac:dyDescent="0.3">
      <c r="B192" s="4">
        <f>'Power-Speed Relation VI Gear'!E192</f>
        <v>329.51259464076514</v>
      </c>
      <c r="C192" s="4">
        <f t="shared" si="2"/>
        <v>555.89142795076782</v>
      </c>
      <c r="D192" s="4"/>
      <c r="P192" s="4"/>
    </row>
    <row r="193" spans="2:16" x14ac:dyDescent="0.3">
      <c r="B193" s="4">
        <f>'Power-Speed Relation VI Gear'!E193</f>
        <v>330.86870187619115</v>
      </c>
      <c r="C193" s="4">
        <f t="shared" si="2"/>
        <v>562.73148377048949</v>
      </c>
      <c r="D193" s="4"/>
      <c r="P193" s="4"/>
    </row>
    <row r="194" spans="2:16" x14ac:dyDescent="0.3">
      <c r="B194" s="4"/>
      <c r="C194" s="4"/>
      <c r="D194" s="4"/>
    </row>
    <row r="195" spans="2:16" x14ac:dyDescent="0.3">
      <c r="B195" s="4"/>
      <c r="C195" s="4"/>
      <c r="D195" s="4"/>
    </row>
    <row r="196" spans="2:16" x14ac:dyDescent="0.3">
      <c r="B196" s="4"/>
      <c r="C196" s="4"/>
      <c r="D196" s="4"/>
    </row>
    <row r="197" spans="2:16" x14ac:dyDescent="0.3">
      <c r="B197" s="4"/>
      <c r="C197" s="4"/>
      <c r="D197" s="4"/>
    </row>
    <row r="198" spans="2:16" x14ac:dyDescent="0.3">
      <c r="B198" s="4"/>
      <c r="C198" s="4"/>
      <c r="D198" s="4"/>
    </row>
    <row r="199" spans="2:16" x14ac:dyDescent="0.3">
      <c r="B199" s="4"/>
      <c r="C199" s="4"/>
      <c r="D199" s="4"/>
    </row>
    <row r="200" spans="2:16" x14ac:dyDescent="0.3">
      <c r="B200" s="4"/>
      <c r="C200" s="4"/>
      <c r="D200" s="4"/>
    </row>
    <row r="201" spans="2:16" x14ac:dyDescent="0.3">
      <c r="B201" s="4"/>
      <c r="C201" s="4"/>
      <c r="D201" s="4"/>
    </row>
    <row r="202" spans="2:16" x14ac:dyDescent="0.3">
      <c r="B202" s="4"/>
      <c r="C202" s="4"/>
      <c r="D202" s="4"/>
    </row>
    <row r="203" spans="2:16" x14ac:dyDescent="0.3">
      <c r="B203" s="4"/>
      <c r="C203" s="4"/>
      <c r="D203" s="4"/>
    </row>
    <row r="204" spans="2:16" x14ac:dyDescent="0.3">
      <c r="B204" s="4"/>
      <c r="C204" s="4"/>
      <c r="D204" s="4"/>
    </row>
    <row r="205" spans="2:16" x14ac:dyDescent="0.3">
      <c r="B205" s="4"/>
      <c r="C205" s="4"/>
      <c r="D205" s="4"/>
    </row>
    <row r="206" spans="2:16" x14ac:dyDescent="0.3">
      <c r="B206" s="4"/>
      <c r="C206" s="4"/>
      <c r="D206" s="4"/>
    </row>
    <row r="207" spans="2:16" x14ac:dyDescent="0.3">
      <c r="B207" s="4"/>
      <c r="C207" s="4"/>
      <c r="D207" s="4"/>
    </row>
    <row r="208" spans="2:16" x14ac:dyDescent="0.3">
      <c r="B208" s="4"/>
      <c r="C208" s="4"/>
      <c r="D208" s="4"/>
    </row>
    <row r="209" spans="2:4" x14ac:dyDescent="0.3">
      <c r="B209" s="4"/>
      <c r="C209" s="4"/>
      <c r="D209" s="4"/>
    </row>
    <row r="210" spans="2:4" x14ac:dyDescent="0.3">
      <c r="B210" s="4"/>
      <c r="C210" s="4"/>
      <c r="D210" s="4"/>
    </row>
    <row r="211" spans="2:4" x14ac:dyDescent="0.3">
      <c r="B211" s="4"/>
      <c r="C211" s="4"/>
      <c r="D211" s="4"/>
    </row>
    <row r="212" spans="2:4" x14ac:dyDescent="0.3">
      <c r="B212" s="4"/>
      <c r="C212" s="4"/>
      <c r="D212" s="4"/>
    </row>
    <row r="213" spans="2:4" x14ac:dyDescent="0.3">
      <c r="B213" s="4"/>
      <c r="C213" s="4"/>
      <c r="D213" s="4"/>
    </row>
    <row r="214" spans="2:4" x14ac:dyDescent="0.3">
      <c r="B214" s="4"/>
      <c r="C214" s="4"/>
      <c r="D214" s="4"/>
    </row>
    <row r="215" spans="2:4" x14ac:dyDescent="0.3">
      <c r="B215" s="4"/>
      <c r="C215" s="4"/>
      <c r="D215" s="4"/>
    </row>
    <row r="216" spans="2:4" x14ac:dyDescent="0.3">
      <c r="B216" s="4"/>
      <c r="C216" s="4"/>
      <c r="D216" s="4"/>
    </row>
    <row r="217" spans="2:4" x14ac:dyDescent="0.3">
      <c r="B217" s="4"/>
      <c r="C217" s="4"/>
      <c r="D217" s="4"/>
    </row>
    <row r="218" spans="2:4" x14ac:dyDescent="0.3">
      <c r="B218" s="4"/>
      <c r="C218" s="4"/>
      <c r="D218" s="4"/>
    </row>
    <row r="219" spans="2:4" x14ac:dyDescent="0.3">
      <c r="B219" s="4"/>
      <c r="C219" s="4"/>
      <c r="D219" s="4"/>
    </row>
    <row r="220" spans="2:4" x14ac:dyDescent="0.3">
      <c r="C220" s="4"/>
      <c r="D220" s="4"/>
    </row>
    <row r="221" spans="2:4" x14ac:dyDescent="0.3">
      <c r="C221" s="4"/>
      <c r="D221" s="4"/>
    </row>
    <row r="222" spans="2:4" x14ac:dyDescent="0.3">
      <c r="C222" s="4"/>
      <c r="D222" s="4"/>
    </row>
    <row r="223" spans="2:4" x14ac:dyDescent="0.3">
      <c r="C223" s="4"/>
      <c r="D223" s="4"/>
    </row>
    <row r="224" spans="2:4" x14ac:dyDescent="0.3">
      <c r="C224" s="4"/>
      <c r="D224" s="4"/>
    </row>
    <row r="225" spans="3:4" x14ac:dyDescent="0.3">
      <c r="C225" s="4"/>
      <c r="D225" s="4"/>
    </row>
    <row r="226" spans="3:4" x14ac:dyDescent="0.3">
      <c r="C226" s="4"/>
      <c r="D226" s="4"/>
    </row>
    <row r="227" spans="3:4" x14ac:dyDescent="0.3">
      <c r="C227" s="4"/>
      <c r="D227" s="4"/>
    </row>
    <row r="228" spans="3:4" x14ac:dyDescent="0.3">
      <c r="C228" s="4"/>
      <c r="D228" s="4"/>
    </row>
    <row r="229" spans="3:4" x14ac:dyDescent="0.3">
      <c r="C229" s="4"/>
      <c r="D229" s="4"/>
    </row>
    <row r="230" spans="3:4" x14ac:dyDescent="0.3">
      <c r="C230" s="4"/>
      <c r="D230" s="4"/>
    </row>
    <row r="231" spans="3:4" x14ac:dyDescent="0.3">
      <c r="C231" s="4"/>
      <c r="D231" s="4"/>
    </row>
    <row r="232" spans="3:4" x14ac:dyDescent="0.3">
      <c r="C232" s="4"/>
      <c r="D232" s="4"/>
    </row>
    <row r="233" spans="3:4" x14ac:dyDescent="0.3">
      <c r="C233" s="4"/>
      <c r="D233" s="4"/>
    </row>
    <row r="234" spans="3:4" x14ac:dyDescent="0.3">
      <c r="C234" s="4"/>
      <c r="D234" s="4"/>
    </row>
    <row r="235" spans="3:4" x14ac:dyDescent="0.3">
      <c r="C235" s="4"/>
      <c r="D235" s="4"/>
    </row>
    <row r="236" spans="3:4" x14ac:dyDescent="0.3">
      <c r="C236" s="4"/>
      <c r="D236" s="4"/>
    </row>
    <row r="237" spans="3:4" x14ac:dyDescent="0.3">
      <c r="C237" s="4"/>
      <c r="D237" s="4"/>
    </row>
    <row r="238" spans="3:4" x14ac:dyDescent="0.3">
      <c r="C238" s="4"/>
      <c r="D238" s="4"/>
    </row>
    <row r="239" spans="3:4" x14ac:dyDescent="0.3">
      <c r="C239" s="4"/>
      <c r="D239" s="4"/>
    </row>
    <row r="240" spans="3:4" x14ac:dyDescent="0.3">
      <c r="C240" s="4"/>
      <c r="D240" s="4"/>
    </row>
    <row r="241" spans="3:4" x14ac:dyDescent="0.3">
      <c r="C241" s="4"/>
      <c r="D241" s="4"/>
    </row>
    <row r="242" spans="3:4" x14ac:dyDescent="0.3">
      <c r="C242" s="4"/>
      <c r="D242" s="4"/>
    </row>
    <row r="243" spans="3:4" x14ac:dyDescent="0.3">
      <c r="C243" s="4"/>
      <c r="D243" s="4"/>
    </row>
    <row r="244" spans="3:4" x14ac:dyDescent="0.3">
      <c r="C244" s="4"/>
      <c r="D244" s="4"/>
    </row>
    <row r="245" spans="3:4" x14ac:dyDescent="0.3">
      <c r="C245" s="4"/>
      <c r="D245" s="4"/>
    </row>
    <row r="246" spans="3:4" x14ac:dyDescent="0.3">
      <c r="C246" s="4"/>
      <c r="D246" s="4"/>
    </row>
    <row r="247" spans="3:4" x14ac:dyDescent="0.3">
      <c r="C247" s="4"/>
      <c r="D247" s="4"/>
    </row>
    <row r="248" spans="3:4" x14ac:dyDescent="0.3">
      <c r="C248" s="4"/>
      <c r="D248" s="4"/>
    </row>
    <row r="249" spans="3:4" x14ac:dyDescent="0.3">
      <c r="C249" s="4"/>
      <c r="D249" s="4"/>
    </row>
    <row r="250" spans="3:4" x14ac:dyDescent="0.3">
      <c r="C250" s="4"/>
      <c r="D250" s="4"/>
    </row>
    <row r="251" spans="3:4" x14ac:dyDescent="0.3">
      <c r="C251" s="4"/>
      <c r="D251" s="4"/>
    </row>
    <row r="252" spans="3:4" x14ac:dyDescent="0.3">
      <c r="C252" s="4"/>
      <c r="D252" s="4"/>
    </row>
    <row r="253" spans="3:4" x14ac:dyDescent="0.3">
      <c r="C253" s="4"/>
      <c r="D253" s="4"/>
    </row>
    <row r="254" spans="3:4" x14ac:dyDescent="0.3">
      <c r="C254" s="4"/>
      <c r="D254" s="4"/>
    </row>
    <row r="255" spans="3:4" x14ac:dyDescent="0.3">
      <c r="C255" s="4"/>
      <c r="D255" s="4"/>
    </row>
    <row r="256" spans="3:4" x14ac:dyDescent="0.3">
      <c r="C256" s="4"/>
      <c r="D256" s="4"/>
    </row>
    <row r="257" spans="3:4" x14ac:dyDescent="0.3">
      <c r="C257" s="4"/>
      <c r="D257" s="4"/>
    </row>
    <row r="258" spans="3:4" x14ac:dyDescent="0.3">
      <c r="C258" s="4"/>
      <c r="D258" s="4"/>
    </row>
    <row r="259" spans="3:4" x14ac:dyDescent="0.3">
      <c r="C259" s="4"/>
      <c r="D259" s="4"/>
    </row>
    <row r="260" spans="3:4" x14ac:dyDescent="0.3">
      <c r="C260" s="4"/>
      <c r="D260" s="4"/>
    </row>
    <row r="261" spans="3:4" x14ac:dyDescent="0.3">
      <c r="C261" s="4"/>
      <c r="D261" s="4"/>
    </row>
    <row r="262" spans="3:4" x14ac:dyDescent="0.3">
      <c r="C262" s="4"/>
      <c r="D262" s="4"/>
    </row>
    <row r="263" spans="3:4" x14ac:dyDescent="0.3">
      <c r="C263" s="4"/>
      <c r="D263" s="4"/>
    </row>
    <row r="264" spans="3:4" x14ac:dyDescent="0.3">
      <c r="C264" s="4"/>
      <c r="D264" s="4"/>
    </row>
    <row r="265" spans="3:4" x14ac:dyDescent="0.3">
      <c r="C265" s="4"/>
      <c r="D265" s="4"/>
    </row>
    <row r="266" spans="3:4" x14ac:dyDescent="0.3">
      <c r="C266" s="4"/>
      <c r="D266" s="4"/>
    </row>
    <row r="267" spans="3:4" x14ac:dyDescent="0.3">
      <c r="C267" s="4"/>
      <c r="D267" s="4"/>
    </row>
    <row r="268" spans="3:4" x14ac:dyDescent="0.3">
      <c r="C268" s="4"/>
      <c r="D268" s="4"/>
    </row>
    <row r="269" spans="3:4" x14ac:dyDescent="0.3">
      <c r="C269" s="4"/>
      <c r="D269" s="4"/>
    </row>
    <row r="270" spans="3:4" x14ac:dyDescent="0.3">
      <c r="C270" s="4"/>
      <c r="D270" s="4"/>
    </row>
    <row r="271" spans="3:4" x14ac:dyDescent="0.3">
      <c r="C271" s="4"/>
      <c r="D271" s="4"/>
    </row>
    <row r="272" spans="3:4" x14ac:dyDescent="0.3">
      <c r="C272" s="4"/>
      <c r="D272" s="4"/>
    </row>
    <row r="273" spans="3:4" x14ac:dyDescent="0.3">
      <c r="C273" s="4"/>
      <c r="D273" s="4"/>
    </row>
    <row r="274" spans="3:4" x14ac:dyDescent="0.3">
      <c r="C274" s="4"/>
      <c r="D274" s="4"/>
    </row>
    <row r="275" spans="3:4" x14ac:dyDescent="0.3">
      <c r="C275" s="4"/>
      <c r="D275" s="4"/>
    </row>
    <row r="276" spans="3:4" x14ac:dyDescent="0.3">
      <c r="C276" s="4"/>
      <c r="D276" s="4"/>
    </row>
    <row r="277" spans="3:4" x14ac:dyDescent="0.3">
      <c r="C277" s="4"/>
      <c r="D277" s="4"/>
    </row>
    <row r="278" spans="3:4" x14ac:dyDescent="0.3">
      <c r="C278" s="4"/>
      <c r="D278" s="4"/>
    </row>
    <row r="279" spans="3:4" x14ac:dyDescent="0.3">
      <c r="C279" s="4"/>
      <c r="D279" s="4"/>
    </row>
    <row r="280" spans="3:4" x14ac:dyDescent="0.3">
      <c r="C280" s="4"/>
      <c r="D280" s="4"/>
    </row>
    <row r="281" spans="3:4" x14ac:dyDescent="0.3">
      <c r="C281" s="4"/>
      <c r="D281" s="4"/>
    </row>
    <row r="282" spans="3:4" x14ac:dyDescent="0.3">
      <c r="C282" s="4"/>
      <c r="D282" s="4"/>
    </row>
    <row r="283" spans="3:4" x14ac:dyDescent="0.3">
      <c r="C283" s="4"/>
      <c r="D283" s="4"/>
    </row>
    <row r="284" spans="3:4" x14ac:dyDescent="0.3">
      <c r="C284" s="4"/>
      <c r="D284" s="4"/>
    </row>
    <row r="285" spans="3:4" x14ac:dyDescent="0.3">
      <c r="C285" s="4"/>
      <c r="D285" s="4"/>
    </row>
    <row r="286" spans="3:4" x14ac:dyDescent="0.3">
      <c r="C286" s="4"/>
      <c r="D286" s="4"/>
    </row>
    <row r="287" spans="3:4" x14ac:dyDescent="0.3">
      <c r="C287" s="4"/>
      <c r="D287" s="4"/>
    </row>
    <row r="288" spans="3:4" x14ac:dyDescent="0.3">
      <c r="C288" s="4"/>
      <c r="D288" s="4"/>
    </row>
    <row r="289" spans="3:4" x14ac:dyDescent="0.3">
      <c r="C289" s="4"/>
      <c r="D289" s="4"/>
    </row>
    <row r="290" spans="3:4" x14ac:dyDescent="0.3">
      <c r="C290" s="4"/>
      <c r="D290" s="4"/>
    </row>
    <row r="291" spans="3:4" x14ac:dyDescent="0.3">
      <c r="C291" s="4"/>
      <c r="D291" s="4"/>
    </row>
    <row r="292" spans="3:4" x14ac:dyDescent="0.3">
      <c r="C292" s="4"/>
      <c r="D292" s="4"/>
    </row>
    <row r="293" spans="3:4" x14ac:dyDescent="0.3">
      <c r="C293" s="4"/>
      <c r="D293" s="4"/>
    </row>
    <row r="294" spans="3:4" x14ac:dyDescent="0.3">
      <c r="C294" s="4"/>
      <c r="D294" s="4"/>
    </row>
    <row r="295" spans="3:4" x14ac:dyDescent="0.3">
      <c r="C295" s="4"/>
      <c r="D295" s="4"/>
    </row>
    <row r="296" spans="3:4" x14ac:dyDescent="0.3">
      <c r="C296" s="4"/>
      <c r="D296" s="4"/>
    </row>
    <row r="297" spans="3:4" x14ac:dyDescent="0.3">
      <c r="C297" s="4"/>
      <c r="D297" s="4"/>
    </row>
    <row r="298" spans="3:4" x14ac:dyDescent="0.3">
      <c r="C298" s="4"/>
      <c r="D298" s="4"/>
    </row>
    <row r="299" spans="3:4" x14ac:dyDescent="0.3">
      <c r="C299" s="4"/>
      <c r="D299" s="4"/>
    </row>
    <row r="300" spans="3:4" x14ac:dyDescent="0.3">
      <c r="C300" s="4"/>
      <c r="D300" s="4"/>
    </row>
    <row r="301" spans="3:4" x14ac:dyDescent="0.3">
      <c r="C301" s="4"/>
      <c r="D301" s="4"/>
    </row>
    <row r="302" spans="3:4" x14ac:dyDescent="0.3">
      <c r="C302" s="4"/>
      <c r="D302" s="4"/>
    </row>
    <row r="303" spans="3:4" x14ac:dyDescent="0.3">
      <c r="C303" s="4"/>
      <c r="D303" s="4"/>
    </row>
    <row r="304" spans="3:4" x14ac:dyDescent="0.3">
      <c r="C304" s="4"/>
      <c r="D304" s="4"/>
    </row>
    <row r="305" spans="3:4" x14ac:dyDescent="0.3">
      <c r="C305" s="4"/>
      <c r="D305" s="4"/>
    </row>
    <row r="306" spans="3:4" x14ac:dyDescent="0.3">
      <c r="C306" s="4"/>
      <c r="D306" s="4"/>
    </row>
    <row r="307" spans="3:4" x14ac:dyDescent="0.3">
      <c r="C307" s="4"/>
      <c r="D307" s="4"/>
    </row>
    <row r="308" spans="3:4" x14ac:dyDescent="0.3">
      <c r="C308" s="4"/>
      <c r="D308" s="4"/>
    </row>
    <row r="309" spans="3:4" x14ac:dyDescent="0.3">
      <c r="C309" s="4"/>
      <c r="D309" s="4"/>
    </row>
    <row r="310" spans="3:4" x14ac:dyDescent="0.3">
      <c r="C310" s="4"/>
      <c r="D310" s="4"/>
    </row>
    <row r="311" spans="3:4" x14ac:dyDescent="0.3">
      <c r="C311" s="4"/>
      <c r="D311" s="4"/>
    </row>
    <row r="312" spans="3:4" x14ac:dyDescent="0.3">
      <c r="C312" s="4"/>
      <c r="D312" s="4"/>
    </row>
    <row r="313" spans="3:4" x14ac:dyDescent="0.3">
      <c r="C313" s="4"/>
      <c r="D313" s="4"/>
    </row>
    <row r="314" spans="3:4" x14ac:dyDescent="0.3">
      <c r="C314" s="4"/>
      <c r="D314" s="4"/>
    </row>
    <row r="315" spans="3:4" x14ac:dyDescent="0.3">
      <c r="C315" s="4"/>
      <c r="D315" s="4"/>
    </row>
    <row r="316" spans="3:4" x14ac:dyDescent="0.3">
      <c r="C316" s="4"/>
      <c r="D316" s="4"/>
    </row>
    <row r="317" spans="3:4" x14ac:dyDescent="0.3">
      <c r="C317" s="4"/>
      <c r="D317" s="4"/>
    </row>
    <row r="318" spans="3:4" x14ac:dyDescent="0.3">
      <c r="C318" s="4"/>
      <c r="D318" s="4"/>
    </row>
    <row r="319" spans="3:4" x14ac:dyDescent="0.3">
      <c r="C319" s="4"/>
      <c r="D319" s="4"/>
    </row>
    <row r="320" spans="3:4" x14ac:dyDescent="0.3">
      <c r="C320" s="4"/>
      <c r="D320" s="4"/>
    </row>
    <row r="321" spans="3:4" x14ac:dyDescent="0.3">
      <c r="C321" s="4"/>
      <c r="D321" s="4"/>
    </row>
    <row r="322" spans="3:4" x14ac:dyDescent="0.3">
      <c r="C322" s="4"/>
      <c r="D322" s="4"/>
    </row>
    <row r="323" spans="3:4" x14ac:dyDescent="0.3">
      <c r="C323" s="4"/>
      <c r="D323" s="4"/>
    </row>
    <row r="324" spans="3:4" x14ac:dyDescent="0.3">
      <c r="C324" s="4"/>
      <c r="D324" s="4"/>
    </row>
    <row r="325" spans="3:4" x14ac:dyDescent="0.3">
      <c r="C325" s="4"/>
      <c r="D325" s="4"/>
    </row>
    <row r="326" spans="3:4" x14ac:dyDescent="0.3">
      <c r="C326" s="4"/>
      <c r="D326" s="4"/>
    </row>
    <row r="327" spans="3:4" x14ac:dyDescent="0.3">
      <c r="C327" s="4"/>
      <c r="D327" s="4"/>
    </row>
    <row r="328" spans="3:4" x14ac:dyDescent="0.3">
      <c r="C328" s="4"/>
      <c r="D328" s="4"/>
    </row>
    <row r="329" spans="3:4" x14ac:dyDescent="0.3">
      <c r="C329" s="4"/>
      <c r="D329" s="4"/>
    </row>
    <row r="330" spans="3:4" x14ac:dyDescent="0.3">
      <c r="C330" s="4"/>
      <c r="D330" s="4"/>
    </row>
    <row r="331" spans="3:4" x14ac:dyDescent="0.3">
      <c r="C331" s="4"/>
      <c r="D331" s="4"/>
    </row>
    <row r="332" spans="3:4" x14ac:dyDescent="0.3">
      <c r="C332" s="4"/>
      <c r="D332" s="4"/>
    </row>
    <row r="333" spans="3:4" x14ac:dyDescent="0.3">
      <c r="C333" s="4"/>
      <c r="D333" s="4"/>
    </row>
    <row r="334" spans="3:4" x14ac:dyDescent="0.3">
      <c r="C334" s="4"/>
      <c r="D334" s="4"/>
    </row>
    <row r="335" spans="3:4" x14ac:dyDescent="0.3">
      <c r="C335" s="4"/>
      <c r="D335" s="4"/>
    </row>
    <row r="336" spans="3:4" x14ac:dyDescent="0.3">
      <c r="C336" s="4"/>
      <c r="D336" s="4"/>
    </row>
    <row r="337" spans="3:4" x14ac:dyDescent="0.3">
      <c r="C337" s="4"/>
      <c r="D337" s="4"/>
    </row>
    <row r="338" spans="3:4" x14ac:dyDescent="0.3">
      <c r="C338" s="4"/>
      <c r="D338" s="4"/>
    </row>
    <row r="339" spans="3:4" x14ac:dyDescent="0.3">
      <c r="C339" s="4"/>
      <c r="D339" s="4"/>
    </row>
    <row r="340" spans="3:4" x14ac:dyDescent="0.3">
      <c r="C340" s="4"/>
      <c r="D340" s="4"/>
    </row>
    <row r="341" spans="3:4" x14ac:dyDescent="0.3">
      <c r="C341" s="4"/>
      <c r="D341" s="4"/>
    </row>
    <row r="342" spans="3:4" x14ac:dyDescent="0.3">
      <c r="C342" s="4"/>
      <c r="D342" s="4"/>
    </row>
    <row r="343" spans="3:4" x14ac:dyDescent="0.3">
      <c r="C343" s="4"/>
      <c r="D343" s="4"/>
    </row>
    <row r="344" spans="3:4" x14ac:dyDescent="0.3">
      <c r="C344" s="4"/>
      <c r="D344" s="4"/>
    </row>
    <row r="345" spans="3:4" x14ac:dyDescent="0.3">
      <c r="C345" s="4"/>
      <c r="D345" s="4"/>
    </row>
    <row r="346" spans="3:4" x14ac:dyDescent="0.3">
      <c r="C346" s="4"/>
      <c r="D346" s="4"/>
    </row>
    <row r="347" spans="3:4" x14ac:dyDescent="0.3">
      <c r="C347" s="4"/>
      <c r="D347" s="4"/>
    </row>
    <row r="348" spans="3:4" x14ac:dyDescent="0.3">
      <c r="C348" s="4"/>
      <c r="D348" s="4"/>
    </row>
    <row r="349" spans="3:4" x14ac:dyDescent="0.3">
      <c r="C349" s="4"/>
      <c r="D349" s="4"/>
    </row>
    <row r="350" spans="3:4" x14ac:dyDescent="0.3">
      <c r="C350" s="4"/>
      <c r="D350" s="4"/>
    </row>
    <row r="351" spans="3:4" x14ac:dyDescent="0.3">
      <c r="C351" s="4"/>
      <c r="D351" s="4"/>
    </row>
    <row r="352" spans="3:4" x14ac:dyDescent="0.3">
      <c r="C352" s="4"/>
      <c r="D352" s="4"/>
    </row>
    <row r="353" spans="3:4" x14ac:dyDescent="0.3">
      <c r="C353" s="4"/>
      <c r="D353" s="4"/>
    </row>
    <row r="354" spans="3:4" x14ac:dyDescent="0.3">
      <c r="C354" s="4"/>
      <c r="D354" s="4"/>
    </row>
    <row r="355" spans="3:4" x14ac:dyDescent="0.3">
      <c r="C355" s="4"/>
      <c r="D355" s="4"/>
    </row>
    <row r="356" spans="3:4" x14ac:dyDescent="0.3">
      <c r="C356" s="4"/>
      <c r="D356" s="4"/>
    </row>
    <row r="357" spans="3:4" x14ac:dyDescent="0.3">
      <c r="C357" s="4"/>
      <c r="D357" s="4"/>
    </row>
    <row r="358" spans="3:4" x14ac:dyDescent="0.3">
      <c r="C358" s="4"/>
      <c r="D358" s="4"/>
    </row>
    <row r="359" spans="3:4" x14ac:dyDescent="0.3">
      <c r="C359" s="4"/>
      <c r="D359" s="4"/>
    </row>
    <row r="360" spans="3:4" x14ac:dyDescent="0.3">
      <c r="C360" s="4"/>
      <c r="D360" s="4"/>
    </row>
    <row r="361" spans="3:4" x14ac:dyDescent="0.3">
      <c r="C361" s="4"/>
      <c r="D361" s="4"/>
    </row>
    <row r="362" spans="3:4" x14ac:dyDescent="0.3">
      <c r="C362" s="4"/>
      <c r="D362" s="4"/>
    </row>
    <row r="363" spans="3:4" x14ac:dyDescent="0.3">
      <c r="C363" s="4"/>
      <c r="D363" s="4"/>
    </row>
    <row r="364" spans="3:4" x14ac:dyDescent="0.3">
      <c r="C364" s="4"/>
      <c r="D364" s="4"/>
    </row>
    <row r="365" spans="3:4" x14ac:dyDescent="0.3">
      <c r="C365" s="4"/>
      <c r="D365" s="4"/>
    </row>
    <row r="366" spans="3:4" x14ac:dyDescent="0.3">
      <c r="C366" s="4"/>
      <c r="D366" s="4"/>
    </row>
    <row r="367" spans="3:4" x14ac:dyDescent="0.3">
      <c r="C367" s="4"/>
      <c r="D367" s="4"/>
    </row>
    <row r="368" spans="3:4" x14ac:dyDescent="0.3">
      <c r="C368" s="4"/>
      <c r="D368" s="4"/>
    </row>
    <row r="369" spans="3:4" x14ac:dyDescent="0.3">
      <c r="C369" s="4"/>
      <c r="D369" s="4"/>
    </row>
    <row r="370" spans="3:4" x14ac:dyDescent="0.3">
      <c r="C370" s="4"/>
      <c r="D370" s="4"/>
    </row>
    <row r="371" spans="3:4" x14ac:dyDescent="0.3">
      <c r="C371" s="4"/>
      <c r="D371" s="4"/>
    </row>
    <row r="372" spans="3:4" x14ac:dyDescent="0.3">
      <c r="C372" s="4"/>
      <c r="D372" s="4"/>
    </row>
    <row r="373" spans="3:4" x14ac:dyDescent="0.3">
      <c r="C373" s="4"/>
      <c r="D373" s="4"/>
    </row>
    <row r="374" spans="3:4" x14ac:dyDescent="0.3">
      <c r="C374" s="4"/>
      <c r="D374" s="4"/>
    </row>
    <row r="375" spans="3:4" x14ac:dyDescent="0.3">
      <c r="C375" s="4"/>
      <c r="D375" s="4"/>
    </row>
    <row r="376" spans="3:4" x14ac:dyDescent="0.3">
      <c r="C376" s="4"/>
      <c r="D376" s="4"/>
    </row>
    <row r="377" spans="3:4" x14ac:dyDescent="0.3">
      <c r="C377" s="4"/>
      <c r="D377" s="4"/>
    </row>
    <row r="378" spans="3:4" x14ac:dyDescent="0.3">
      <c r="C378" s="4"/>
      <c r="D378" s="4"/>
    </row>
    <row r="379" spans="3:4" x14ac:dyDescent="0.3">
      <c r="C379" s="4"/>
      <c r="D379" s="4"/>
    </row>
    <row r="380" spans="3:4" x14ac:dyDescent="0.3">
      <c r="C380" s="4"/>
      <c r="D380" s="4"/>
    </row>
    <row r="381" spans="3:4" x14ac:dyDescent="0.3">
      <c r="C381" s="4"/>
      <c r="D381" s="4"/>
    </row>
    <row r="382" spans="3:4" x14ac:dyDescent="0.3">
      <c r="C382" s="4"/>
      <c r="D382" s="4"/>
    </row>
    <row r="383" spans="3:4" x14ac:dyDescent="0.3">
      <c r="C383" s="4"/>
      <c r="D383" s="4"/>
    </row>
    <row r="384" spans="3:4" x14ac:dyDescent="0.3">
      <c r="C384" s="4"/>
      <c r="D384" s="4"/>
    </row>
    <row r="385" spans="3:4" x14ac:dyDescent="0.3">
      <c r="C385" s="4"/>
      <c r="D385" s="4"/>
    </row>
    <row r="386" spans="3:4" x14ac:dyDescent="0.3">
      <c r="C386" s="4"/>
      <c r="D386" s="4"/>
    </row>
    <row r="387" spans="3:4" x14ac:dyDescent="0.3">
      <c r="C387" s="4"/>
      <c r="D387" s="4"/>
    </row>
    <row r="388" spans="3:4" x14ac:dyDescent="0.3">
      <c r="C388" s="4"/>
      <c r="D388" s="4"/>
    </row>
    <row r="389" spans="3:4" x14ac:dyDescent="0.3">
      <c r="C389" s="4"/>
      <c r="D389" s="4"/>
    </row>
    <row r="390" spans="3:4" x14ac:dyDescent="0.3">
      <c r="C390" s="4"/>
      <c r="D390" s="4"/>
    </row>
    <row r="391" spans="3:4" x14ac:dyDescent="0.3">
      <c r="C391" s="4"/>
      <c r="D391" s="4"/>
    </row>
    <row r="392" spans="3:4" x14ac:dyDescent="0.3">
      <c r="C392" s="4"/>
      <c r="D392" s="4"/>
    </row>
    <row r="393" spans="3:4" x14ac:dyDescent="0.3">
      <c r="C393" s="4"/>
      <c r="D393" s="4"/>
    </row>
    <row r="394" spans="3:4" x14ac:dyDescent="0.3">
      <c r="C394" s="4"/>
      <c r="D394" s="4"/>
    </row>
    <row r="395" spans="3:4" x14ac:dyDescent="0.3">
      <c r="C395" s="4"/>
      <c r="D395" s="4"/>
    </row>
    <row r="396" spans="3:4" x14ac:dyDescent="0.3">
      <c r="C396" s="4"/>
      <c r="D396" s="4"/>
    </row>
    <row r="397" spans="3:4" x14ac:dyDescent="0.3">
      <c r="C397" s="4"/>
      <c r="D397" s="4"/>
    </row>
    <row r="398" spans="3:4" x14ac:dyDescent="0.3">
      <c r="C398" s="4"/>
      <c r="D398" s="4"/>
    </row>
    <row r="399" spans="3:4" x14ac:dyDescent="0.3">
      <c r="C399" s="4"/>
      <c r="D399" s="4"/>
    </row>
    <row r="400" spans="3:4" x14ac:dyDescent="0.3">
      <c r="C400" s="4"/>
      <c r="D400" s="4"/>
    </row>
    <row r="401" spans="3:4" x14ac:dyDescent="0.3">
      <c r="C401" s="4"/>
      <c r="D401" s="4"/>
    </row>
    <row r="402" spans="3:4" x14ac:dyDescent="0.3">
      <c r="C402" s="4"/>
      <c r="D402" s="4"/>
    </row>
    <row r="403" spans="3:4" x14ac:dyDescent="0.3">
      <c r="C403" s="4"/>
      <c r="D403" s="4"/>
    </row>
    <row r="404" spans="3:4" x14ac:dyDescent="0.3">
      <c r="C404" s="4"/>
      <c r="D404" s="4"/>
    </row>
    <row r="405" spans="3:4" x14ac:dyDescent="0.3">
      <c r="C405" s="4"/>
      <c r="D405" s="4"/>
    </row>
    <row r="406" spans="3:4" x14ac:dyDescent="0.3">
      <c r="C406" s="4"/>
      <c r="D406" s="4"/>
    </row>
    <row r="407" spans="3:4" x14ac:dyDescent="0.3">
      <c r="C407" s="4"/>
      <c r="D407" s="4"/>
    </row>
    <row r="408" spans="3:4" x14ac:dyDescent="0.3">
      <c r="C408" s="4"/>
      <c r="D408" s="4"/>
    </row>
    <row r="409" spans="3:4" x14ac:dyDescent="0.3">
      <c r="C409" s="4"/>
      <c r="D409" s="4"/>
    </row>
    <row r="410" spans="3:4" x14ac:dyDescent="0.3">
      <c r="C410" s="4"/>
      <c r="D410" s="4"/>
    </row>
    <row r="411" spans="3:4" x14ac:dyDescent="0.3">
      <c r="C411" s="4"/>
      <c r="D411" s="4"/>
    </row>
    <row r="412" spans="3:4" x14ac:dyDescent="0.3">
      <c r="C412" s="4"/>
      <c r="D412" s="4"/>
    </row>
    <row r="413" spans="3:4" x14ac:dyDescent="0.3">
      <c r="C413" s="4"/>
      <c r="D413" s="4"/>
    </row>
    <row r="414" spans="3:4" x14ac:dyDescent="0.3">
      <c r="C414" s="4"/>
      <c r="D414" s="4"/>
    </row>
    <row r="415" spans="3:4" x14ac:dyDescent="0.3">
      <c r="C415" s="4"/>
      <c r="D415" s="4"/>
    </row>
    <row r="416" spans="3:4" x14ac:dyDescent="0.3">
      <c r="C416" s="4"/>
      <c r="D416" s="4"/>
    </row>
    <row r="417" spans="3:4" x14ac:dyDescent="0.3">
      <c r="C417" s="4"/>
      <c r="D417" s="4"/>
    </row>
    <row r="418" spans="3:4" x14ac:dyDescent="0.3">
      <c r="C418" s="4"/>
      <c r="D418" s="4"/>
    </row>
    <row r="419" spans="3:4" x14ac:dyDescent="0.3">
      <c r="C419" s="4"/>
      <c r="D419" s="4"/>
    </row>
    <row r="420" spans="3:4" x14ac:dyDescent="0.3">
      <c r="C420" s="4"/>
      <c r="D420" s="4"/>
    </row>
    <row r="421" spans="3:4" x14ac:dyDescent="0.3">
      <c r="C421" s="4"/>
      <c r="D421" s="4"/>
    </row>
    <row r="422" spans="3:4" x14ac:dyDescent="0.3">
      <c r="C422" s="4"/>
      <c r="D422" s="4"/>
    </row>
    <row r="423" spans="3:4" x14ac:dyDescent="0.3">
      <c r="C423" s="4"/>
      <c r="D423" s="4"/>
    </row>
    <row r="424" spans="3:4" x14ac:dyDescent="0.3">
      <c r="C424" s="4"/>
      <c r="D424" s="4"/>
    </row>
    <row r="425" spans="3:4" x14ac:dyDescent="0.3">
      <c r="C425" s="4"/>
      <c r="D425" s="4"/>
    </row>
    <row r="426" spans="3:4" x14ac:dyDescent="0.3">
      <c r="C426" s="4"/>
      <c r="D426" s="4"/>
    </row>
    <row r="427" spans="3:4" x14ac:dyDescent="0.3">
      <c r="C427" s="4"/>
      <c r="D427" s="4"/>
    </row>
    <row r="428" spans="3:4" x14ac:dyDescent="0.3">
      <c r="C428" s="4"/>
      <c r="D428" s="4"/>
    </row>
    <row r="429" spans="3:4" x14ac:dyDescent="0.3">
      <c r="C429" s="4"/>
      <c r="D429" s="4"/>
    </row>
    <row r="430" spans="3:4" x14ac:dyDescent="0.3">
      <c r="C430" s="4"/>
      <c r="D430" s="4"/>
    </row>
    <row r="431" spans="3:4" x14ac:dyDescent="0.3">
      <c r="C431" s="4"/>
      <c r="D431" s="4"/>
    </row>
    <row r="432" spans="3:4" x14ac:dyDescent="0.3">
      <c r="C432" s="4"/>
      <c r="D432" s="4"/>
    </row>
    <row r="433" spans="3:4" x14ac:dyDescent="0.3">
      <c r="C433" s="4"/>
      <c r="D433" s="4"/>
    </row>
    <row r="434" spans="3:4" x14ac:dyDescent="0.3">
      <c r="C434" s="4"/>
      <c r="D434" s="4"/>
    </row>
    <row r="435" spans="3:4" x14ac:dyDescent="0.3">
      <c r="C435" s="4"/>
      <c r="D435" s="4"/>
    </row>
    <row r="436" spans="3:4" x14ac:dyDescent="0.3">
      <c r="C436" s="4"/>
      <c r="D436" s="4"/>
    </row>
    <row r="437" spans="3:4" x14ac:dyDescent="0.3">
      <c r="C437" s="4"/>
      <c r="D437" s="4"/>
    </row>
    <row r="438" spans="3:4" x14ac:dyDescent="0.3">
      <c r="C438" s="4"/>
      <c r="D438" s="4"/>
    </row>
    <row r="439" spans="3:4" x14ac:dyDescent="0.3">
      <c r="C439" s="4"/>
      <c r="D439" s="4"/>
    </row>
    <row r="440" spans="3:4" x14ac:dyDescent="0.3">
      <c r="C440" s="4"/>
      <c r="D440" s="4"/>
    </row>
    <row r="441" spans="3:4" x14ac:dyDescent="0.3">
      <c r="C441" s="4"/>
      <c r="D441" s="4"/>
    </row>
    <row r="442" spans="3:4" x14ac:dyDescent="0.3">
      <c r="C442" s="4"/>
      <c r="D442" s="4"/>
    </row>
    <row r="443" spans="3:4" x14ac:dyDescent="0.3">
      <c r="C443" s="4"/>
      <c r="D443" s="4"/>
    </row>
    <row r="444" spans="3:4" x14ac:dyDescent="0.3">
      <c r="C444" s="4"/>
      <c r="D444" s="4"/>
    </row>
    <row r="445" spans="3:4" x14ac:dyDescent="0.3">
      <c r="C445" s="4"/>
      <c r="D445" s="4"/>
    </row>
    <row r="446" spans="3:4" x14ac:dyDescent="0.3">
      <c r="C446" s="4"/>
      <c r="D446" s="4"/>
    </row>
    <row r="447" spans="3:4" x14ac:dyDescent="0.3">
      <c r="C447" s="4"/>
      <c r="D447" s="4"/>
    </row>
    <row r="448" spans="3:4" x14ac:dyDescent="0.3">
      <c r="C448" s="4"/>
      <c r="D448" s="4"/>
    </row>
    <row r="449" spans="3:4" x14ac:dyDescent="0.3">
      <c r="C449" s="4"/>
      <c r="D449" s="4"/>
    </row>
    <row r="450" spans="3:4" x14ac:dyDescent="0.3">
      <c r="C450" s="4"/>
      <c r="D450" s="4"/>
    </row>
    <row r="451" spans="3:4" x14ac:dyDescent="0.3">
      <c r="C451" s="4"/>
      <c r="D451" s="4"/>
    </row>
    <row r="452" spans="3:4" x14ac:dyDescent="0.3">
      <c r="C452" s="4"/>
      <c r="D452" s="4"/>
    </row>
    <row r="453" spans="3:4" x14ac:dyDescent="0.3">
      <c r="C453" s="4"/>
      <c r="D453" s="4"/>
    </row>
    <row r="454" spans="3:4" x14ac:dyDescent="0.3">
      <c r="C454" s="4"/>
      <c r="D454" s="4"/>
    </row>
    <row r="455" spans="3:4" x14ac:dyDescent="0.3">
      <c r="C455" s="4"/>
      <c r="D455" s="4"/>
    </row>
    <row r="456" spans="3:4" x14ac:dyDescent="0.3">
      <c r="C456" s="4"/>
      <c r="D456" s="4"/>
    </row>
    <row r="457" spans="3:4" x14ac:dyDescent="0.3">
      <c r="C457" s="4"/>
      <c r="D457" s="4"/>
    </row>
    <row r="458" spans="3:4" x14ac:dyDescent="0.3">
      <c r="C458" s="4"/>
      <c r="D458" s="4"/>
    </row>
    <row r="459" spans="3:4" x14ac:dyDescent="0.3">
      <c r="C459" s="4"/>
      <c r="D459" s="4"/>
    </row>
    <row r="460" spans="3:4" x14ac:dyDescent="0.3">
      <c r="C460" s="4"/>
      <c r="D460" s="4"/>
    </row>
    <row r="461" spans="3:4" x14ac:dyDescent="0.3">
      <c r="C461" s="4"/>
      <c r="D461" s="4"/>
    </row>
    <row r="462" spans="3:4" x14ac:dyDescent="0.3">
      <c r="C462" s="4"/>
      <c r="D462" s="4"/>
    </row>
    <row r="463" spans="3:4" x14ac:dyDescent="0.3">
      <c r="C463" s="4"/>
      <c r="D463" s="4"/>
    </row>
    <row r="464" spans="3:4" x14ac:dyDescent="0.3">
      <c r="C464" s="4"/>
      <c r="D464" s="4"/>
    </row>
    <row r="465" spans="3:4" x14ac:dyDescent="0.3">
      <c r="C465" s="4"/>
      <c r="D465" s="4"/>
    </row>
    <row r="466" spans="3:4" x14ac:dyDescent="0.3">
      <c r="C466" s="4"/>
      <c r="D466" s="4"/>
    </row>
    <row r="467" spans="3:4" x14ac:dyDescent="0.3">
      <c r="C467" s="4"/>
      <c r="D467" s="4"/>
    </row>
    <row r="468" spans="3:4" x14ac:dyDescent="0.3">
      <c r="C468" s="4"/>
      <c r="D468" s="4"/>
    </row>
    <row r="469" spans="3:4" x14ac:dyDescent="0.3">
      <c r="C469" s="4"/>
      <c r="D469" s="4"/>
    </row>
    <row r="470" spans="3:4" x14ac:dyDescent="0.3">
      <c r="C470" s="4"/>
      <c r="D470" s="4"/>
    </row>
    <row r="471" spans="3:4" x14ac:dyDescent="0.3">
      <c r="C471" s="4"/>
      <c r="D471" s="4"/>
    </row>
    <row r="472" spans="3:4" x14ac:dyDescent="0.3">
      <c r="C472" s="4"/>
      <c r="D472" s="4"/>
    </row>
    <row r="473" spans="3:4" x14ac:dyDescent="0.3">
      <c r="C473" s="4"/>
      <c r="D473" s="4"/>
    </row>
    <row r="474" spans="3:4" x14ac:dyDescent="0.3">
      <c r="C474" s="4"/>
      <c r="D474" s="4"/>
    </row>
    <row r="475" spans="3:4" x14ac:dyDescent="0.3">
      <c r="C475" s="4"/>
      <c r="D475" s="4"/>
    </row>
    <row r="476" spans="3:4" x14ac:dyDescent="0.3">
      <c r="C476" s="4"/>
      <c r="D476" s="4"/>
    </row>
    <row r="477" spans="3:4" x14ac:dyDescent="0.3">
      <c r="C477" s="4"/>
      <c r="D477" s="4"/>
    </row>
    <row r="478" spans="3:4" x14ac:dyDescent="0.3">
      <c r="C478" s="4"/>
      <c r="D478" s="4"/>
    </row>
    <row r="479" spans="3:4" x14ac:dyDescent="0.3">
      <c r="C479" s="4"/>
      <c r="D479" s="4"/>
    </row>
    <row r="480" spans="3:4" x14ac:dyDescent="0.3">
      <c r="C480" s="4"/>
      <c r="D480" s="4"/>
    </row>
    <row r="481" spans="3:4" x14ac:dyDescent="0.3">
      <c r="C481" s="4"/>
      <c r="D481" s="4"/>
    </row>
    <row r="482" spans="3:4" x14ac:dyDescent="0.3">
      <c r="C482" s="4"/>
      <c r="D482" s="4"/>
    </row>
    <row r="483" spans="3:4" x14ac:dyDescent="0.3">
      <c r="C483" s="4"/>
      <c r="D483" s="4"/>
    </row>
    <row r="484" spans="3:4" x14ac:dyDescent="0.3">
      <c r="C484" s="4"/>
      <c r="D484" s="4"/>
    </row>
    <row r="485" spans="3:4" x14ac:dyDescent="0.3">
      <c r="C485" s="4"/>
      <c r="D485" s="4"/>
    </row>
    <row r="486" spans="3:4" x14ac:dyDescent="0.3">
      <c r="C486" s="4"/>
      <c r="D486" s="4"/>
    </row>
    <row r="487" spans="3:4" x14ac:dyDescent="0.3">
      <c r="C487" s="4"/>
      <c r="D487" s="4"/>
    </row>
    <row r="488" spans="3:4" x14ac:dyDescent="0.3">
      <c r="C488" s="4"/>
      <c r="D488" s="4"/>
    </row>
    <row r="489" spans="3:4" x14ac:dyDescent="0.3">
      <c r="C489" s="4"/>
      <c r="D489" s="4"/>
    </row>
    <row r="490" spans="3:4" x14ac:dyDescent="0.3">
      <c r="C490" s="4"/>
      <c r="D490" s="4"/>
    </row>
    <row r="491" spans="3:4" x14ac:dyDescent="0.3">
      <c r="C491" s="4"/>
      <c r="D491" s="4"/>
    </row>
    <row r="492" spans="3:4" x14ac:dyDescent="0.3">
      <c r="C492" s="4"/>
      <c r="D492" s="4"/>
    </row>
    <row r="493" spans="3:4" x14ac:dyDescent="0.3">
      <c r="C493" s="4"/>
      <c r="D493" s="4"/>
    </row>
    <row r="494" spans="3:4" x14ac:dyDescent="0.3">
      <c r="C494" s="4"/>
      <c r="D494" s="4"/>
    </row>
    <row r="495" spans="3:4" x14ac:dyDescent="0.3">
      <c r="C495" s="4"/>
      <c r="D495" s="4"/>
    </row>
    <row r="496" spans="3:4" x14ac:dyDescent="0.3">
      <c r="C496" s="4"/>
      <c r="D496" s="4"/>
    </row>
    <row r="497" spans="3:4" x14ac:dyDescent="0.3">
      <c r="C497" s="4"/>
      <c r="D497" s="4"/>
    </row>
    <row r="498" spans="3:4" x14ac:dyDescent="0.3">
      <c r="C498" s="4"/>
      <c r="D498" s="4"/>
    </row>
    <row r="499" spans="3:4" x14ac:dyDescent="0.3">
      <c r="C499" s="4"/>
      <c r="D499" s="4"/>
    </row>
    <row r="500" spans="3:4" x14ac:dyDescent="0.3">
      <c r="C500" s="4"/>
      <c r="D500" s="4"/>
    </row>
    <row r="501" spans="3:4" x14ac:dyDescent="0.3">
      <c r="C501" s="4"/>
      <c r="D501" s="4"/>
    </row>
    <row r="502" spans="3:4" x14ac:dyDescent="0.3">
      <c r="C502" s="4"/>
      <c r="D502" s="4"/>
    </row>
    <row r="503" spans="3:4" x14ac:dyDescent="0.3">
      <c r="C503" s="4"/>
      <c r="D503" s="4"/>
    </row>
    <row r="504" spans="3:4" x14ac:dyDescent="0.3">
      <c r="C504" s="4"/>
      <c r="D504" s="4"/>
    </row>
    <row r="505" spans="3:4" x14ac:dyDescent="0.3">
      <c r="C505" s="4"/>
      <c r="D505" s="4"/>
    </row>
    <row r="506" spans="3:4" x14ac:dyDescent="0.3">
      <c r="C506" s="4"/>
      <c r="D506" s="4"/>
    </row>
    <row r="507" spans="3:4" x14ac:dyDescent="0.3">
      <c r="C507" s="4"/>
      <c r="D507" s="4"/>
    </row>
    <row r="508" spans="3:4" x14ac:dyDescent="0.3">
      <c r="C508" s="4"/>
      <c r="D508" s="4"/>
    </row>
    <row r="509" spans="3:4" x14ac:dyDescent="0.3">
      <c r="C509" s="4"/>
      <c r="D509" s="4"/>
    </row>
    <row r="510" spans="3:4" x14ac:dyDescent="0.3">
      <c r="C510" s="4"/>
      <c r="D510" s="4"/>
    </row>
    <row r="511" spans="3:4" x14ac:dyDescent="0.3">
      <c r="C511" s="4"/>
      <c r="D511" s="4"/>
    </row>
    <row r="512" spans="3:4" x14ac:dyDescent="0.3">
      <c r="C512" s="4"/>
      <c r="D512" s="4"/>
    </row>
    <row r="513" spans="3:4" x14ac:dyDescent="0.3">
      <c r="C513" s="4"/>
      <c r="D513" s="4"/>
    </row>
    <row r="514" spans="3:4" x14ac:dyDescent="0.3">
      <c r="C514" s="4"/>
      <c r="D514" s="4"/>
    </row>
    <row r="515" spans="3:4" x14ac:dyDescent="0.3">
      <c r="C515" s="4"/>
      <c r="D515" s="4"/>
    </row>
    <row r="516" spans="3:4" x14ac:dyDescent="0.3">
      <c r="C516" s="4"/>
      <c r="D516" s="4"/>
    </row>
    <row r="517" spans="3:4" x14ac:dyDescent="0.3">
      <c r="C517" s="4"/>
      <c r="D517" s="4"/>
    </row>
    <row r="518" spans="3:4" x14ac:dyDescent="0.3">
      <c r="C518" s="4"/>
      <c r="D518" s="4"/>
    </row>
    <row r="519" spans="3:4" x14ac:dyDescent="0.3">
      <c r="C519" s="4"/>
      <c r="D519" s="4"/>
    </row>
    <row r="520" spans="3:4" x14ac:dyDescent="0.3">
      <c r="C520" s="4"/>
      <c r="D520" s="4"/>
    </row>
    <row r="521" spans="3:4" x14ac:dyDescent="0.3">
      <c r="C521" s="4"/>
      <c r="D521" s="4"/>
    </row>
    <row r="522" spans="3:4" x14ac:dyDescent="0.3">
      <c r="C522" s="4"/>
      <c r="D522" s="4"/>
    </row>
    <row r="523" spans="3:4" x14ac:dyDescent="0.3">
      <c r="C523" s="4"/>
      <c r="D523" s="4"/>
    </row>
    <row r="524" spans="3:4" x14ac:dyDescent="0.3">
      <c r="C524" s="4"/>
      <c r="D524" s="4"/>
    </row>
    <row r="525" spans="3:4" x14ac:dyDescent="0.3">
      <c r="C525" s="4"/>
      <c r="D525" s="4"/>
    </row>
    <row r="526" spans="3:4" x14ac:dyDescent="0.3">
      <c r="C526" s="4"/>
      <c r="D526" s="4"/>
    </row>
    <row r="527" spans="3:4" x14ac:dyDescent="0.3">
      <c r="C527" s="4"/>
      <c r="D527" s="4"/>
    </row>
    <row r="528" spans="3:4" x14ac:dyDescent="0.3">
      <c r="C528" s="4"/>
      <c r="D528" s="4"/>
    </row>
    <row r="529" spans="3:4" x14ac:dyDescent="0.3">
      <c r="C529" s="4"/>
      <c r="D529" s="4"/>
    </row>
    <row r="530" spans="3:4" x14ac:dyDescent="0.3">
      <c r="C530" s="4"/>
      <c r="D530" s="4"/>
    </row>
    <row r="531" spans="3:4" x14ac:dyDescent="0.3">
      <c r="C531" s="4"/>
      <c r="D531" s="4"/>
    </row>
    <row r="532" spans="3:4" x14ac:dyDescent="0.3">
      <c r="C532" s="4"/>
      <c r="D532" s="4"/>
    </row>
    <row r="533" spans="3:4" x14ac:dyDescent="0.3">
      <c r="C533" s="4"/>
      <c r="D533" s="4"/>
    </row>
    <row r="534" spans="3:4" x14ac:dyDescent="0.3">
      <c r="C534" s="4"/>
      <c r="D534" s="4"/>
    </row>
    <row r="535" spans="3:4" x14ac:dyDescent="0.3">
      <c r="C535" s="4"/>
      <c r="D535" s="4"/>
    </row>
    <row r="536" spans="3:4" x14ac:dyDescent="0.3">
      <c r="C536" s="4"/>
      <c r="D536" s="4"/>
    </row>
    <row r="537" spans="3:4" x14ac:dyDescent="0.3">
      <c r="C537" s="4"/>
      <c r="D537" s="4"/>
    </row>
    <row r="538" spans="3:4" x14ac:dyDescent="0.3">
      <c r="C538" s="4"/>
      <c r="D538" s="4"/>
    </row>
    <row r="539" spans="3:4" x14ac:dyDescent="0.3">
      <c r="C539" s="4"/>
      <c r="D539" s="4"/>
    </row>
    <row r="540" spans="3:4" x14ac:dyDescent="0.3">
      <c r="C540" s="4"/>
      <c r="D540" s="4"/>
    </row>
    <row r="541" spans="3:4" x14ac:dyDescent="0.3">
      <c r="C541" s="4"/>
      <c r="D541" s="4"/>
    </row>
    <row r="542" spans="3:4" x14ac:dyDescent="0.3">
      <c r="C542" s="4"/>
      <c r="D542" s="4"/>
    </row>
    <row r="543" spans="3:4" x14ac:dyDescent="0.3">
      <c r="C543" s="4"/>
      <c r="D543" s="4"/>
    </row>
    <row r="544" spans="3:4" x14ac:dyDescent="0.3">
      <c r="C544" s="4"/>
      <c r="D544" s="4"/>
    </row>
    <row r="545" spans="3:4" x14ac:dyDescent="0.3">
      <c r="C545" s="4"/>
      <c r="D545" s="4"/>
    </row>
    <row r="546" spans="3:4" x14ac:dyDescent="0.3">
      <c r="C546" s="4"/>
      <c r="D546" s="4"/>
    </row>
    <row r="547" spans="3:4" x14ac:dyDescent="0.3">
      <c r="C547" s="4"/>
      <c r="D547" s="4"/>
    </row>
    <row r="548" spans="3:4" x14ac:dyDescent="0.3">
      <c r="C548" s="4"/>
      <c r="D548" s="4"/>
    </row>
    <row r="549" spans="3:4" x14ac:dyDescent="0.3">
      <c r="C549" s="4"/>
      <c r="D549" s="4"/>
    </row>
    <row r="550" spans="3:4" x14ac:dyDescent="0.3">
      <c r="C550" s="4"/>
      <c r="D550" s="4"/>
    </row>
    <row r="551" spans="3:4" x14ac:dyDescent="0.3">
      <c r="C551" s="4"/>
      <c r="D551" s="4"/>
    </row>
    <row r="552" spans="3:4" x14ac:dyDescent="0.3">
      <c r="C552" s="4"/>
      <c r="D552" s="4"/>
    </row>
    <row r="553" spans="3:4" x14ac:dyDescent="0.3">
      <c r="C553" s="4"/>
      <c r="D553" s="4"/>
    </row>
    <row r="554" spans="3:4" x14ac:dyDescent="0.3">
      <c r="C554" s="4"/>
      <c r="D554" s="4"/>
    </row>
    <row r="555" spans="3:4" x14ac:dyDescent="0.3">
      <c r="C555" s="4"/>
      <c r="D555" s="4"/>
    </row>
    <row r="556" spans="3:4" x14ac:dyDescent="0.3">
      <c r="C556" s="4"/>
      <c r="D556" s="4"/>
    </row>
    <row r="557" spans="3:4" x14ac:dyDescent="0.3">
      <c r="C557" s="4"/>
      <c r="D557" s="4"/>
    </row>
    <row r="558" spans="3:4" x14ac:dyDescent="0.3">
      <c r="C558" s="4"/>
      <c r="D558" s="4"/>
    </row>
    <row r="559" spans="3:4" x14ac:dyDescent="0.3">
      <c r="C559" s="4"/>
      <c r="D559" s="4"/>
    </row>
    <row r="560" spans="3:4" x14ac:dyDescent="0.3">
      <c r="C560" s="4"/>
      <c r="D560" s="4"/>
    </row>
    <row r="561" spans="3:4" x14ac:dyDescent="0.3">
      <c r="C561" s="4"/>
      <c r="D561" s="4"/>
    </row>
    <row r="562" spans="3:4" x14ac:dyDescent="0.3">
      <c r="C562" s="4"/>
      <c r="D562" s="4"/>
    </row>
    <row r="563" spans="3:4" x14ac:dyDescent="0.3">
      <c r="C563" s="4"/>
      <c r="D563" s="4"/>
    </row>
    <row r="564" spans="3:4" x14ac:dyDescent="0.3">
      <c r="C564" s="4"/>
      <c r="D564" s="4"/>
    </row>
    <row r="565" spans="3:4" x14ac:dyDescent="0.3">
      <c r="C565" s="4"/>
      <c r="D565" s="4"/>
    </row>
    <row r="566" spans="3:4" x14ac:dyDescent="0.3">
      <c r="C566" s="4"/>
      <c r="D566" s="4"/>
    </row>
    <row r="567" spans="3:4" x14ac:dyDescent="0.3">
      <c r="C567" s="4"/>
      <c r="D567" s="4"/>
    </row>
    <row r="568" spans="3:4" x14ac:dyDescent="0.3">
      <c r="C568" s="4"/>
      <c r="D568" s="4"/>
    </row>
    <row r="569" spans="3:4" x14ac:dyDescent="0.3">
      <c r="C569" s="4"/>
      <c r="D569" s="4"/>
    </row>
    <row r="570" spans="3:4" x14ac:dyDescent="0.3">
      <c r="C570" s="4"/>
      <c r="D570" s="4"/>
    </row>
    <row r="571" spans="3:4" x14ac:dyDescent="0.3">
      <c r="C571" s="4"/>
      <c r="D571" s="4"/>
    </row>
    <row r="572" spans="3:4" x14ac:dyDescent="0.3">
      <c r="C572" s="4"/>
      <c r="D572" s="4"/>
    </row>
    <row r="573" spans="3:4" x14ac:dyDescent="0.3">
      <c r="C573" s="4"/>
      <c r="D573" s="4"/>
    </row>
    <row r="574" spans="3:4" x14ac:dyDescent="0.3">
      <c r="C574" s="4"/>
      <c r="D574" s="4"/>
    </row>
    <row r="575" spans="3:4" x14ac:dyDescent="0.3">
      <c r="C575" s="4"/>
      <c r="D575" s="4"/>
    </row>
    <row r="576" spans="3:4" x14ac:dyDescent="0.3">
      <c r="C576" s="4"/>
      <c r="D576" s="4"/>
    </row>
    <row r="577" spans="3:4" x14ac:dyDescent="0.3">
      <c r="C577" s="4"/>
      <c r="D577" s="4"/>
    </row>
    <row r="578" spans="3:4" x14ac:dyDescent="0.3">
      <c r="C578" s="4"/>
      <c r="D578" s="4"/>
    </row>
    <row r="579" spans="3:4" x14ac:dyDescent="0.3">
      <c r="C579" s="4"/>
      <c r="D579" s="4"/>
    </row>
    <row r="580" spans="3:4" x14ac:dyDescent="0.3">
      <c r="C580" s="4"/>
      <c r="D580" s="4"/>
    </row>
    <row r="581" spans="3:4" x14ac:dyDescent="0.3">
      <c r="C581" s="4"/>
      <c r="D581" s="4"/>
    </row>
    <row r="582" spans="3:4" x14ac:dyDescent="0.3">
      <c r="C582" s="4"/>
      <c r="D582" s="4"/>
    </row>
    <row r="583" spans="3:4" x14ac:dyDescent="0.3">
      <c r="C583" s="4"/>
      <c r="D583" s="4"/>
    </row>
    <row r="584" spans="3:4" x14ac:dyDescent="0.3">
      <c r="C584" s="4"/>
      <c r="D584" s="4"/>
    </row>
    <row r="585" spans="3:4" x14ac:dyDescent="0.3">
      <c r="C585" s="4"/>
      <c r="D585" s="4"/>
    </row>
    <row r="586" spans="3:4" x14ac:dyDescent="0.3">
      <c r="C586" s="4"/>
      <c r="D586" s="4"/>
    </row>
    <row r="587" spans="3:4" x14ac:dyDescent="0.3">
      <c r="C587" s="4"/>
      <c r="D587" s="4"/>
    </row>
    <row r="588" spans="3:4" x14ac:dyDescent="0.3">
      <c r="C588" s="4"/>
      <c r="D588" s="4"/>
    </row>
    <row r="589" spans="3:4" x14ac:dyDescent="0.3">
      <c r="C589" s="4"/>
      <c r="D589" s="4"/>
    </row>
    <row r="590" spans="3:4" x14ac:dyDescent="0.3">
      <c r="C590" s="4"/>
      <c r="D590" s="4"/>
    </row>
    <row r="591" spans="3:4" x14ac:dyDescent="0.3">
      <c r="C591" s="4"/>
      <c r="D591" s="4"/>
    </row>
    <row r="592" spans="3:4" x14ac:dyDescent="0.3">
      <c r="C592" s="4"/>
      <c r="D592" s="4"/>
    </row>
    <row r="593" spans="3:4" x14ac:dyDescent="0.3">
      <c r="C593" s="4"/>
      <c r="D593" s="4"/>
    </row>
    <row r="594" spans="3:4" x14ac:dyDescent="0.3">
      <c r="C594" s="4"/>
      <c r="D594" s="4"/>
    </row>
    <row r="595" spans="3:4" x14ac:dyDescent="0.3">
      <c r="C595" s="4"/>
      <c r="D595" s="4"/>
    </row>
    <row r="596" spans="3:4" x14ac:dyDescent="0.3">
      <c r="C596" s="4"/>
      <c r="D596" s="4"/>
    </row>
    <row r="597" spans="3:4" x14ac:dyDescent="0.3">
      <c r="C597" s="4"/>
      <c r="D597" s="4"/>
    </row>
    <row r="598" spans="3:4" x14ac:dyDescent="0.3">
      <c r="C598" s="4"/>
      <c r="D598" s="4"/>
    </row>
    <row r="599" spans="3:4" x14ac:dyDescent="0.3">
      <c r="C599" s="4"/>
      <c r="D599" s="4"/>
    </row>
    <row r="600" spans="3:4" x14ac:dyDescent="0.3">
      <c r="C600" s="4"/>
      <c r="D600" s="4"/>
    </row>
    <row r="601" spans="3:4" x14ac:dyDescent="0.3">
      <c r="C601" s="4"/>
      <c r="D601" s="4"/>
    </row>
    <row r="602" spans="3:4" x14ac:dyDescent="0.3">
      <c r="C602" s="4"/>
      <c r="D602" s="4"/>
    </row>
    <row r="603" spans="3:4" x14ac:dyDescent="0.3">
      <c r="C603" s="4"/>
      <c r="D603" s="4"/>
    </row>
    <row r="604" spans="3:4" x14ac:dyDescent="0.3">
      <c r="C604" s="4"/>
      <c r="D604" s="4"/>
    </row>
    <row r="605" spans="3:4" x14ac:dyDescent="0.3">
      <c r="C605" s="4"/>
      <c r="D605" s="4"/>
    </row>
    <row r="606" spans="3:4" x14ac:dyDescent="0.3">
      <c r="C606" s="4"/>
      <c r="D606" s="4"/>
    </row>
    <row r="607" spans="3:4" x14ac:dyDescent="0.3">
      <c r="C607" s="4"/>
      <c r="D607" s="4"/>
    </row>
    <row r="608" spans="3:4" x14ac:dyDescent="0.3">
      <c r="C608" s="4"/>
      <c r="D608" s="4"/>
    </row>
    <row r="609" spans="3:4" x14ac:dyDescent="0.3">
      <c r="C609" s="4"/>
      <c r="D609" s="4"/>
    </row>
    <row r="610" spans="3:4" x14ac:dyDescent="0.3">
      <c r="C610" s="4"/>
      <c r="D610" s="4"/>
    </row>
    <row r="611" spans="3:4" x14ac:dyDescent="0.3">
      <c r="C611" s="4"/>
      <c r="D611" s="4"/>
    </row>
    <row r="612" spans="3:4" x14ac:dyDescent="0.3">
      <c r="C612" s="4"/>
      <c r="D612" s="4"/>
    </row>
    <row r="613" spans="3:4" x14ac:dyDescent="0.3">
      <c r="C613" s="4"/>
      <c r="D613" s="4"/>
    </row>
    <row r="614" spans="3:4" x14ac:dyDescent="0.3">
      <c r="C614" s="4"/>
      <c r="D614" s="4"/>
    </row>
    <row r="623" spans="3:4" x14ac:dyDescent="0.3">
      <c r="C623" s="4"/>
      <c r="D623" s="4"/>
    </row>
    <row r="624" spans="3:4" x14ac:dyDescent="0.3">
      <c r="C624" s="4"/>
      <c r="D624" s="4"/>
    </row>
    <row r="625" spans="3:4" x14ac:dyDescent="0.3">
      <c r="C625" s="4"/>
      <c r="D625" s="4"/>
    </row>
    <row r="626" spans="3:4" x14ac:dyDescent="0.3">
      <c r="C626" s="4"/>
      <c r="D626" s="4"/>
    </row>
    <row r="627" spans="3:4" x14ac:dyDescent="0.3">
      <c r="C627" s="4"/>
      <c r="D627" s="4"/>
    </row>
    <row r="628" spans="3:4" x14ac:dyDescent="0.3">
      <c r="C628" s="4"/>
      <c r="D628" s="4"/>
    </row>
    <row r="629" spans="3:4" x14ac:dyDescent="0.3">
      <c r="C629" s="4"/>
      <c r="D629" s="4"/>
    </row>
    <row r="630" spans="3:4" x14ac:dyDescent="0.3">
      <c r="C630" s="4"/>
      <c r="D630" s="4"/>
    </row>
    <row r="631" spans="3:4" x14ac:dyDescent="0.3">
      <c r="C631" s="4"/>
      <c r="D631" s="4"/>
    </row>
    <row r="632" spans="3:4" x14ac:dyDescent="0.3">
      <c r="C632" s="4"/>
      <c r="D632" s="4"/>
    </row>
    <row r="633" spans="3:4" x14ac:dyDescent="0.3">
      <c r="C633" s="4"/>
      <c r="D633" s="4"/>
    </row>
    <row r="634" spans="3:4" x14ac:dyDescent="0.3">
      <c r="C634" s="4"/>
      <c r="D634" s="4"/>
    </row>
    <row r="635" spans="3:4" x14ac:dyDescent="0.3">
      <c r="C635" s="4"/>
      <c r="D635" s="4"/>
    </row>
    <row r="636" spans="3:4" x14ac:dyDescent="0.3">
      <c r="C636" s="4"/>
      <c r="D636" s="4"/>
    </row>
    <row r="637" spans="3:4" x14ac:dyDescent="0.3">
      <c r="C637" s="4"/>
      <c r="D637" s="4"/>
    </row>
    <row r="638" spans="3:4" x14ac:dyDescent="0.3">
      <c r="C638" s="4"/>
      <c r="D638" s="4"/>
    </row>
    <row r="639" spans="3:4" x14ac:dyDescent="0.3">
      <c r="C639" s="4"/>
      <c r="D639" s="4"/>
    </row>
    <row r="640" spans="3:4" x14ac:dyDescent="0.3">
      <c r="C640" s="4"/>
      <c r="D640" s="4"/>
    </row>
    <row r="641" spans="3:4" x14ac:dyDescent="0.3">
      <c r="C641" s="4"/>
      <c r="D641" s="4"/>
    </row>
    <row r="642" spans="3:4" x14ac:dyDescent="0.3">
      <c r="C642" s="4"/>
      <c r="D642" s="4"/>
    </row>
    <row r="643" spans="3:4" x14ac:dyDescent="0.3">
      <c r="C643" s="4"/>
      <c r="D643" s="4"/>
    </row>
    <row r="644" spans="3:4" x14ac:dyDescent="0.3">
      <c r="C644" s="4"/>
      <c r="D644" s="4"/>
    </row>
    <row r="645" spans="3:4" x14ac:dyDescent="0.3">
      <c r="C645" s="4"/>
      <c r="D645" s="4"/>
    </row>
    <row r="646" spans="3:4" x14ac:dyDescent="0.3">
      <c r="C646" s="4"/>
      <c r="D646" s="4"/>
    </row>
    <row r="647" spans="3:4" x14ac:dyDescent="0.3">
      <c r="C647" s="4"/>
      <c r="D647" s="4"/>
    </row>
    <row r="648" spans="3:4" x14ac:dyDescent="0.3">
      <c r="C648" s="4"/>
      <c r="D648" s="4"/>
    </row>
    <row r="649" spans="3:4" x14ac:dyDescent="0.3">
      <c r="C649" s="4"/>
      <c r="D649" s="4"/>
    </row>
    <row r="650" spans="3:4" x14ac:dyDescent="0.3">
      <c r="C650" s="4"/>
      <c r="D650" s="4"/>
    </row>
    <row r="651" spans="3:4" x14ac:dyDescent="0.3">
      <c r="C651" s="4"/>
      <c r="D651" s="4"/>
    </row>
    <row r="652" spans="3:4" x14ac:dyDescent="0.3">
      <c r="C652" s="4"/>
      <c r="D652" s="4"/>
    </row>
    <row r="653" spans="3:4" x14ac:dyDescent="0.3">
      <c r="C653" s="4"/>
      <c r="D653" s="4"/>
    </row>
    <row r="654" spans="3:4" x14ac:dyDescent="0.3">
      <c r="C654" s="4"/>
      <c r="D654" s="4"/>
    </row>
    <row r="655" spans="3:4" x14ac:dyDescent="0.3">
      <c r="C655" s="4"/>
      <c r="D655" s="4"/>
    </row>
    <row r="656" spans="3:4" x14ac:dyDescent="0.3">
      <c r="C656" s="4"/>
      <c r="D656" s="4"/>
    </row>
    <row r="657" spans="3:4" x14ac:dyDescent="0.3">
      <c r="C657" s="4"/>
      <c r="D657" s="4"/>
    </row>
    <row r="658" spans="3:4" x14ac:dyDescent="0.3">
      <c r="C658" s="4"/>
      <c r="D658" s="4"/>
    </row>
    <row r="659" spans="3:4" x14ac:dyDescent="0.3">
      <c r="C659" s="4"/>
      <c r="D659" s="4"/>
    </row>
    <row r="660" spans="3:4" x14ac:dyDescent="0.3">
      <c r="C660" s="4"/>
      <c r="D660" s="4"/>
    </row>
    <row r="661" spans="3:4" x14ac:dyDescent="0.3">
      <c r="C661" s="4"/>
      <c r="D661" s="4"/>
    </row>
    <row r="662" spans="3:4" x14ac:dyDescent="0.3">
      <c r="C662" s="4"/>
      <c r="D662" s="4"/>
    </row>
    <row r="663" spans="3:4" x14ac:dyDescent="0.3">
      <c r="C663" s="4"/>
      <c r="D663" s="4"/>
    </row>
    <row r="664" spans="3:4" x14ac:dyDescent="0.3">
      <c r="C664" s="4"/>
      <c r="D664" s="4"/>
    </row>
    <row r="665" spans="3:4" x14ac:dyDescent="0.3">
      <c r="C665" s="4"/>
      <c r="D665" s="4"/>
    </row>
    <row r="666" spans="3:4" x14ac:dyDescent="0.3">
      <c r="C666" s="4"/>
      <c r="D666" s="4"/>
    </row>
    <row r="667" spans="3:4" x14ac:dyDescent="0.3">
      <c r="C667" s="4"/>
      <c r="D667" s="4"/>
    </row>
    <row r="668" spans="3:4" x14ac:dyDescent="0.3">
      <c r="C668" s="4"/>
      <c r="D668" s="4"/>
    </row>
    <row r="669" spans="3:4" x14ac:dyDescent="0.3">
      <c r="C669" s="4"/>
      <c r="D669" s="4"/>
    </row>
    <row r="670" spans="3:4" x14ac:dyDescent="0.3">
      <c r="C670" s="4"/>
      <c r="D670" s="4"/>
    </row>
    <row r="671" spans="3:4" x14ac:dyDescent="0.3">
      <c r="C671" s="4"/>
      <c r="D671" s="4"/>
    </row>
    <row r="672" spans="3:4" x14ac:dyDescent="0.3">
      <c r="C672" s="4"/>
      <c r="D672" s="4"/>
    </row>
    <row r="673" spans="3:4" x14ac:dyDescent="0.3">
      <c r="C673" s="4"/>
      <c r="D673" s="4"/>
    </row>
    <row r="674" spans="3:4" x14ac:dyDescent="0.3">
      <c r="C674" s="4"/>
      <c r="D674" s="4"/>
    </row>
    <row r="675" spans="3:4" x14ac:dyDescent="0.3">
      <c r="C675" s="4"/>
      <c r="D675" s="4"/>
    </row>
    <row r="676" spans="3:4" x14ac:dyDescent="0.3">
      <c r="C676" s="4"/>
      <c r="D676" s="4"/>
    </row>
    <row r="677" spans="3:4" x14ac:dyDescent="0.3">
      <c r="C677" s="4"/>
      <c r="D677" s="4"/>
    </row>
    <row r="678" spans="3:4" x14ac:dyDescent="0.3">
      <c r="C678" s="4"/>
      <c r="D678" s="4"/>
    </row>
    <row r="679" spans="3:4" x14ac:dyDescent="0.3">
      <c r="C679" s="4"/>
      <c r="D679" s="4"/>
    </row>
    <row r="680" spans="3:4" x14ac:dyDescent="0.3">
      <c r="C680" s="4"/>
      <c r="D680" s="4"/>
    </row>
    <row r="681" spans="3:4" x14ac:dyDescent="0.3">
      <c r="C681" s="4"/>
      <c r="D681" s="4"/>
    </row>
    <row r="682" spans="3:4" x14ac:dyDescent="0.3">
      <c r="C682" s="4"/>
      <c r="D682" s="4"/>
    </row>
    <row r="683" spans="3:4" x14ac:dyDescent="0.3">
      <c r="C683" s="4"/>
      <c r="D683" s="4"/>
    </row>
    <row r="684" spans="3:4" x14ac:dyDescent="0.3">
      <c r="C684" s="4"/>
      <c r="D684" s="4"/>
    </row>
    <row r="685" spans="3:4" x14ac:dyDescent="0.3">
      <c r="C685" s="4"/>
      <c r="D685" s="4"/>
    </row>
    <row r="686" spans="3:4" x14ac:dyDescent="0.3">
      <c r="C686" s="4"/>
      <c r="D686" s="4"/>
    </row>
    <row r="687" spans="3:4" x14ac:dyDescent="0.3">
      <c r="C687" s="4"/>
      <c r="D687" s="4"/>
    </row>
    <row r="688" spans="3:4" x14ac:dyDescent="0.3">
      <c r="C688" s="4"/>
      <c r="D688" s="4"/>
    </row>
    <row r="689" spans="3:4" x14ac:dyDescent="0.3">
      <c r="C689" s="4"/>
      <c r="D689" s="4"/>
    </row>
    <row r="690" spans="3:4" x14ac:dyDescent="0.3">
      <c r="C690" s="4"/>
      <c r="D690" s="4"/>
    </row>
    <row r="691" spans="3:4" x14ac:dyDescent="0.3">
      <c r="C691" s="4"/>
      <c r="D691" s="4"/>
    </row>
    <row r="692" spans="3:4" x14ac:dyDescent="0.3">
      <c r="C692" s="4"/>
      <c r="D692" s="4"/>
    </row>
    <row r="693" spans="3:4" x14ac:dyDescent="0.3">
      <c r="C693" s="4"/>
      <c r="D693" s="4"/>
    </row>
    <row r="694" spans="3:4" x14ac:dyDescent="0.3">
      <c r="C694" s="4"/>
      <c r="D694" s="4"/>
    </row>
    <row r="695" spans="3:4" x14ac:dyDescent="0.3">
      <c r="C695" s="4"/>
      <c r="D695" s="4"/>
    </row>
    <row r="696" spans="3:4" x14ac:dyDescent="0.3">
      <c r="C696" s="4"/>
      <c r="D696" s="4"/>
    </row>
    <row r="697" spans="3:4" x14ac:dyDescent="0.3">
      <c r="C697" s="4"/>
      <c r="D697" s="4"/>
    </row>
    <row r="698" spans="3:4" x14ac:dyDescent="0.3">
      <c r="C698" s="4"/>
      <c r="D698" s="4"/>
    </row>
    <row r="699" spans="3:4" x14ac:dyDescent="0.3">
      <c r="C699" s="4"/>
      <c r="D699" s="4"/>
    </row>
    <row r="700" spans="3:4" x14ac:dyDescent="0.3">
      <c r="C700" s="4"/>
      <c r="D700" s="4"/>
    </row>
    <row r="701" spans="3:4" x14ac:dyDescent="0.3">
      <c r="C701" s="4"/>
      <c r="D701" s="4"/>
    </row>
    <row r="702" spans="3:4" x14ac:dyDescent="0.3">
      <c r="C702" s="4"/>
      <c r="D702" s="4"/>
    </row>
    <row r="703" spans="3:4" x14ac:dyDescent="0.3">
      <c r="C703" s="4"/>
      <c r="D703" s="4"/>
    </row>
    <row r="704" spans="3:4" x14ac:dyDescent="0.3">
      <c r="C704" s="4"/>
      <c r="D704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0382F-A98F-4BA5-807A-3E08EF80C2D0}">
  <sheetPr codeName="Sheet4"/>
  <dimension ref="B2:X202"/>
  <sheetViews>
    <sheetView zoomScale="81" zoomScaleNormal="81" workbookViewId="0">
      <selection activeCell="K9" sqref="K9"/>
    </sheetView>
  </sheetViews>
  <sheetFormatPr defaultRowHeight="14.4" x14ac:dyDescent="0.3"/>
  <cols>
    <col min="2" max="2" width="20.21875" bestFit="1" customWidth="1"/>
    <col min="3" max="3" width="17.109375" bestFit="1" customWidth="1"/>
    <col min="4" max="4" width="12.109375" bestFit="1" customWidth="1"/>
    <col min="6" max="6" width="20.21875" bestFit="1" customWidth="1"/>
    <col min="7" max="7" width="17.109375" bestFit="1" customWidth="1"/>
    <col min="8" max="8" width="12.109375" bestFit="1" customWidth="1"/>
    <col min="10" max="10" width="20.21875" bestFit="1" customWidth="1"/>
    <col min="11" max="11" width="17.109375" bestFit="1" customWidth="1"/>
    <col min="12" max="12" width="12.109375" bestFit="1" customWidth="1"/>
    <col min="14" max="14" width="20.21875" bestFit="1" customWidth="1"/>
    <col min="15" max="15" width="17.109375" bestFit="1" customWidth="1"/>
    <col min="16" max="16" width="12.109375" bestFit="1" customWidth="1"/>
    <col min="18" max="18" width="20.21875" bestFit="1" customWidth="1"/>
    <col min="19" max="19" width="17.109375" bestFit="1" customWidth="1"/>
    <col min="20" max="20" width="12.109375" bestFit="1" customWidth="1"/>
    <col min="22" max="22" width="20.21875" bestFit="1" customWidth="1"/>
    <col min="23" max="23" width="17.109375" bestFit="1" customWidth="1"/>
    <col min="24" max="24" width="12.109375" bestFit="1" customWidth="1"/>
  </cols>
  <sheetData>
    <row r="2" spans="2:24" ht="21" x14ac:dyDescent="0.3">
      <c r="B2" s="37" t="s">
        <v>35</v>
      </c>
      <c r="C2" s="38"/>
    </row>
    <row r="3" spans="2:24" ht="18" x14ac:dyDescent="0.3">
      <c r="B3" s="28" t="s">
        <v>29</v>
      </c>
      <c r="C3" s="32">
        <f>'Excess Power'!F3</f>
        <v>2640</v>
      </c>
    </row>
    <row r="4" spans="2:24" ht="18" x14ac:dyDescent="0.3">
      <c r="B4" s="28" t="s">
        <v>30</v>
      </c>
      <c r="C4" s="32">
        <f>'Excess Power'!F4</f>
        <v>2475</v>
      </c>
    </row>
    <row r="5" spans="2:24" ht="18" x14ac:dyDescent="0.3">
      <c r="B5" s="28" t="s">
        <v>31</v>
      </c>
      <c r="C5" s="32">
        <f>'Excess Power'!F5</f>
        <v>2310</v>
      </c>
    </row>
    <row r="6" spans="2:24" ht="18" x14ac:dyDescent="0.3">
      <c r="B6" s="28" t="s">
        <v>32</v>
      </c>
      <c r="C6" s="32">
        <f>'Excess Power'!F6</f>
        <v>2145</v>
      </c>
    </row>
    <row r="7" spans="2:24" ht="18" x14ac:dyDescent="0.3">
      <c r="B7" s="28" t="s">
        <v>33</v>
      </c>
      <c r="C7" s="32">
        <f>'Excess Power'!F7</f>
        <v>1980</v>
      </c>
    </row>
    <row r="8" spans="2:24" ht="18" x14ac:dyDescent="0.3">
      <c r="B8" s="28" t="s">
        <v>34</v>
      </c>
      <c r="C8" s="32">
        <f>'Excess Power'!F8</f>
        <v>1815.0000000000002</v>
      </c>
    </row>
    <row r="11" spans="2:24" x14ac:dyDescent="0.3">
      <c r="B11" s="39" t="s">
        <v>29</v>
      </c>
      <c r="C11" s="39"/>
      <c r="D11" s="39"/>
      <c r="F11" s="39" t="s">
        <v>30</v>
      </c>
      <c r="G11" s="39"/>
      <c r="H11" s="39"/>
      <c r="J11" s="39" t="s">
        <v>31</v>
      </c>
      <c r="K11" s="39"/>
      <c r="L11" s="39"/>
      <c r="N11" s="39" t="s">
        <v>32</v>
      </c>
      <c r="O11" s="39"/>
      <c r="P11" s="39"/>
      <c r="R11" s="39" t="s">
        <v>33</v>
      </c>
      <c r="S11" s="39"/>
      <c r="T11" s="39"/>
      <c r="V11" s="39" t="s">
        <v>34</v>
      </c>
      <c r="W11" s="39"/>
      <c r="X11" s="39"/>
    </row>
    <row r="12" spans="2:24" x14ac:dyDescent="0.3">
      <c r="B12" s="20" t="s">
        <v>6</v>
      </c>
      <c r="C12" s="20" t="s">
        <v>21</v>
      </c>
      <c r="D12" s="20" t="s">
        <v>36</v>
      </c>
      <c r="F12" s="20" t="s">
        <v>6</v>
      </c>
      <c r="G12" s="20" t="s">
        <v>21</v>
      </c>
      <c r="H12" s="20" t="s">
        <v>36</v>
      </c>
      <c r="J12" s="20" t="s">
        <v>6</v>
      </c>
      <c r="K12" s="20" t="s">
        <v>21</v>
      </c>
      <c r="L12" s="20" t="s">
        <v>36</v>
      </c>
      <c r="N12" s="20" t="s">
        <v>6</v>
      </c>
      <c r="O12" s="20" t="s">
        <v>21</v>
      </c>
      <c r="P12" s="20" t="s">
        <v>36</v>
      </c>
      <c r="R12" s="20" t="s">
        <v>6</v>
      </c>
      <c r="S12" s="20" t="s">
        <v>21</v>
      </c>
      <c r="T12" s="20" t="s">
        <v>36</v>
      </c>
      <c r="V12" s="20" t="s">
        <v>6</v>
      </c>
      <c r="W12" s="20" t="s">
        <v>21</v>
      </c>
      <c r="X12" s="20" t="s">
        <v>36</v>
      </c>
    </row>
    <row r="13" spans="2:24" x14ac:dyDescent="0.3">
      <c r="B13" s="19">
        <f>'Excess Power'!F12</f>
        <v>10.494180907266067</v>
      </c>
      <c r="C13" s="19">
        <f>'Excess Power'!H12</f>
        <v>36.438646653469284</v>
      </c>
      <c r="D13" s="34">
        <f>C13*735.5/($C$3*B13/3.6)</f>
        <v>3.4825306152293201</v>
      </c>
      <c r="F13" s="19">
        <f>'Excess Power'!J12</f>
        <v>6.8807404563526875</v>
      </c>
      <c r="G13" s="19">
        <f>'Excess Power'!L12</f>
        <v>36.519631992953443</v>
      </c>
      <c r="H13" s="34">
        <f>G13*735.5/($C$3*F13/3.6)</f>
        <v>5.3231961208249468</v>
      </c>
      <c r="J13" s="19">
        <f>'Excess Power'!N12</f>
        <v>10.421146734147303</v>
      </c>
      <c r="K13" s="19">
        <f>'Excess Power'!P12</f>
        <v>36.440393933808956</v>
      </c>
      <c r="L13" s="34">
        <f>K13*735.5/($C$3*J13/3.6)</f>
        <v>3.5071052799122149</v>
      </c>
      <c r="N13" s="19">
        <f>'Excess Power'!R12</f>
        <v>13.830750111930403</v>
      </c>
      <c r="O13" s="19">
        <f>'Excess Power'!T12</f>
        <v>36.35274919491355</v>
      </c>
      <c r="P13" s="34">
        <f>O13*735.5/($C$3*N13/3.6)</f>
        <v>2.6361661334157929</v>
      </c>
      <c r="R13" s="19">
        <f>'Excess Power'!V12</f>
        <v>16.486254133421042</v>
      </c>
      <c r="S13" s="19">
        <f>'Excess Power'!X12</f>
        <v>36.274408509449884</v>
      </c>
      <c r="T13" s="34">
        <f>S13*735.5/($C$3*R13/3.6)</f>
        <v>2.206782850961567</v>
      </c>
      <c r="V13" s="19">
        <f>'Excess Power'!Z12</f>
        <v>48.800348141013629</v>
      </c>
      <c r="W13" s="19">
        <f>'Excess Power'!AB12</f>
        <v>33.947567812789003</v>
      </c>
      <c r="X13" s="34">
        <f>W13*735.5/($C$3*V13/3.6)</f>
        <v>0.6976972243431202</v>
      </c>
    </row>
    <row r="14" spans="2:24" x14ac:dyDescent="0.3">
      <c r="B14" s="19">
        <f>'Excess Power'!F13</f>
        <v>10.610829539501971</v>
      </c>
      <c r="C14" s="19">
        <f>'Excess Power'!H13</f>
        <v>37.744895217601837</v>
      </c>
      <c r="D14" s="34">
        <f t="shared" ref="D14:D77" si="0">C14*735.5/($C$3*B14/3.6)</f>
        <v>3.5677148601122588</v>
      </c>
      <c r="F14" s="19">
        <f>'Excess Power'!J13</f>
        <v>6.9572236969310985</v>
      </c>
      <c r="G14" s="19">
        <f>'Excess Power'!L13</f>
        <v>37.827068956998197</v>
      </c>
      <c r="H14" s="34">
        <f t="shared" ref="H14:H77" si="1">G14*735.5/($C$3*F14/3.6)</f>
        <v>5.4531566619568483</v>
      </c>
      <c r="J14" s="19">
        <f>'Excess Power'!N13</f>
        <v>10.536983551104237</v>
      </c>
      <c r="K14" s="19">
        <f>'Excess Power'!P13</f>
        <v>37.746670240874714</v>
      </c>
      <c r="L14" s="34">
        <f t="shared" ref="L14:L77" si="2">K14*735.5/($C$3*J14/3.6)</f>
        <v>3.5928873107039938</v>
      </c>
      <c r="N14" s="19">
        <f>'Excess Power'!R13</f>
        <v>13.984486558596403</v>
      </c>
      <c r="O14" s="19">
        <f>'Excess Power'!T13</f>
        <v>37.65752555222776</v>
      </c>
      <c r="P14" s="34">
        <f t="shared" ref="P14:P77" si="3">O14*735.5/($C$3*N14/3.6)</f>
        <v>2.7007631824681235</v>
      </c>
      <c r="R14" s="19">
        <f>'Excess Power'!V13</f>
        <v>16.669507977846912</v>
      </c>
      <c r="S14" s="19">
        <f>'Excess Power'!X13</f>
        <v>37.577676766264993</v>
      </c>
      <c r="T14" s="34">
        <f t="shared" ref="T14:T77" si="4">S14*735.5/($C$3*R14/3.6)</f>
        <v>2.2609366617439384</v>
      </c>
      <c r="V14" s="19">
        <f>'Excess Power'!Z13</f>
        <v>49.342791035184042</v>
      </c>
      <c r="W14" s="19">
        <f>'Excess Power'!AB13</f>
        <v>35.186170610065162</v>
      </c>
      <c r="X14" s="34">
        <f t="shared" ref="X14:X77" si="5">W14*735.5/($C$3*V14/3.6)</f>
        <v>0.71520335615673314</v>
      </c>
    </row>
    <row r="15" spans="2:24" x14ac:dyDescent="0.3">
      <c r="B15" s="19">
        <f>'Excess Power'!F14</f>
        <v>10.844126803973779</v>
      </c>
      <c r="C15" s="19">
        <f>'Excess Power'!H14</f>
        <v>39.702872272585225</v>
      </c>
      <c r="D15" s="34">
        <f t="shared" si="0"/>
        <v>3.6720500353056251</v>
      </c>
      <c r="F15" s="19">
        <f>'Excess Power'!J14</f>
        <v>7.1101901780879189</v>
      </c>
      <c r="G15" s="19">
        <f>'Excess Power'!L14</f>
        <v>39.787451589344791</v>
      </c>
      <c r="H15" s="34">
        <f t="shared" si="1"/>
        <v>5.6123682242093471</v>
      </c>
      <c r="J15" s="19">
        <f>'Excess Power'!N14</f>
        <v>10.768657185018109</v>
      </c>
      <c r="K15" s="19">
        <f>'Excess Power'!P14</f>
        <v>39.704703612584346</v>
      </c>
      <c r="L15" s="34">
        <f t="shared" si="2"/>
        <v>3.6979553049166931</v>
      </c>
      <c r="N15" s="19">
        <f>'Excess Power'!R14</f>
        <v>14.291959451928401</v>
      </c>
      <c r="O15" s="19">
        <f>'Excess Power'!T14</f>
        <v>39.612506529446385</v>
      </c>
      <c r="P15" s="34">
        <f t="shared" si="3"/>
        <v>2.7798527986444461</v>
      </c>
      <c r="R15" s="19">
        <f>'Excess Power'!V14</f>
        <v>17.036015666698656</v>
      </c>
      <c r="S15" s="19">
        <f>'Excess Power'!X14</f>
        <v>39.529577907006633</v>
      </c>
      <c r="T15" s="34">
        <f t="shared" si="4"/>
        <v>2.3272090503668101</v>
      </c>
      <c r="V15" s="19">
        <f>'Excess Power'!Z14</f>
        <v>50.427676823524834</v>
      </c>
      <c r="W15" s="19">
        <f>'Excess Power'!AB14</f>
        <v>37.004866455302249</v>
      </c>
      <c r="X15" s="34">
        <f t="shared" si="5"/>
        <v>0.73598867433785509</v>
      </c>
    </row>
    <row r="16" spans="2:24" x14ac:dyDescent="0.3">
      <c r="B16" s="19">
        <f>'Excess Power'!F15</f>
        <v>11.019099752327637</v>
      </c>
      <c r="C16" s="19">
        <f>'Excess Power'!H15</f>
        <v>41.007744423603775</v>
      </c>
      <c r="D16" s="34">
        <f t="shared" si="0"/>
        <v>3.7325103314182964</v>
      </c>
      <c r="F16" s="19">
        <f>'Excess Power'!J15</f>
        <v>7.2249150389555359</v>
      </c>
      <c r="G16" s="19">
        <f>'Excess Power'!L15</f>
        <v>41.094153517440979</v>
      </c>
      <c r="H16" s="34">
        <f t="shared" si="1"/>
        <v>5.7046439770844186</v>
      </c>
      <c r="J16" s="19">
        <f>'Excess Power'!N15</f>
        <v>10.94241241045351</v>
      </c>
      <c r="K16" s="19">
        <f>'Excess Power'!P15</f>
        <v>41.009618740094453</v>
      </c>
      <c r="L16" s="34">
        <f t="shared" si="2"/>
        <v>3.7588405536097835</v>
      </c>
      <c r="N16" s="19">
        <f>'Excess Power'!R15</f>
        <v>14.522564121927402</v>
      </c>
      <c r="O16" s="19">
        <f>'Excess Power'!T15</f>
        <v>40.915085673300631</v>
      </c>
      <c r="P16" s="34">
        <f t="shared" si="3"/>
        <v>2.8256698203686654</v>
      </c>
      <c r="R16" s="19">
        <f>'Excess Power'!V15</f>
        <v>17.310896433337465</v>
      </c>
      <c r="S16" s="19">
        <f>'Excess Power'!X15</f>
        <v>40.829790577629211</v>
      </c>
      <c r="T16" s="34">
        <f t="shared" si="4"/>
        <v>2.3655865660964688</v>
      </c>
      <c r="V16" s="19">
        <f>'Excess Power'!Z15</f>
        <v>51.241341164780451</v>
      </c>
      <c r="W16" s="19">
        <f>'Excess Power'!AB15</f>
        <v>38.201729376500452</v>
      </c>
      <c r="X16" s="34">
        <f t="shared" si="5"/>
        <v>0.74772824542539917</v>
      </c>
    </row>
    <row r="17" spans="2:24" x14ac:dyDescent="0.3">
      <c r="B17" s="19">
        <f>'Excess Power'!F16</f>
        <v>11.252397016799444</v>
      </c>
      <c r="C17" s="19">
        <f>'Excess Power'!H16</f>
        <v>42.965625499177655</v>
      </c>
      <c r="D17" s="34">
        <f t="shared" si="0"/>
        <v>3.8296346394783458</v>
      </c>
      <c r="F17" s="19">
        <f>'Excess Power'!J16</f>
        <v>7.3778815201123562</v>
      </c>
      <c r="G17" s="19">
        <f>'Excess Power'!L16</f>
        <v>43.054509095384077</v>
      </c>
      <c r="H17" s="34">
        <f t="shared" si="1"/>
        <v>5.8528610796764227</v>
      </c>
      <c r="J17" s="19">
        <f>'Excess Power'!N16</f>
        <v>11.174086044367384</v>
      </c>
      <c r="K17" s="19">
        <f>'Excess Power'!P16</f>
        <v>42.967558122384702</v>
      </c>
      <c r="L17" s="34">
        <f t="shared" si="2"/>
        <v>3.8566472062966732</v>
      </c>
      <c r="N17" s="19">
        <f>'Excess Power'!R16</f>
        <v>14.830037015259402</v>
      </c>
      <c r="O17" s="19">
        <f>'Excess Power'!T16</f>
        <v>42.869846930495129</v>
      </c>
      <c r="P17" s="34">
        <f t="shared" si="3"/>
        <v>2.8992852679760226</v>
      </c>
      <c r="R17" s="19">
        <f>'Excess Power'!V16</f>
        <v>17.677404122189213</v>
      </c>
      <c r="S17" s="19">
        <f>'Excess Power'!X16</f>
        <v>42.781319585182182</v>
      </c>
      <c r="T17" s="34">
        <f t="shared" si="4"/>
        <v>2.4272635643738534</v>
      </c>
      <c r="V17" s="19">
        <f>'Excess Power'!Z16</f>
        <v>52.326226953121257</v>
      </c>
      <c r="W17" s="19">
        <f>'Excess Power'!AB16</f>
        <v>40.010773579959803</v>
      </c>
      <c r="X17" s="34">
        <f t="shared" si="5"/>
        <v>0.76690007221664636</v>
      </c>
    </row>
    <row r="18" spans="2:24" x14ac:dyDescent="0.3">
      <c r="B18" s="19">
        <f>'Excess Power'!F17</f>
        <v>11.4273699651533</v>
      </c>
      <c r="C18" s="19">
        <f>'Excess Power'!H17</f>
        <v>44.270334321411561</v>
      </c>
      <c r="D18" s="34">
        <f t="shared" si="0"/>
        <v>3.8855076165249938</v>
      </c>
      <c r="F18" s="19">
        <f>'Excess Power'!J17</f>
        <v>7.4926063809799714</v>
      </c>
      <c r="G18" s="19">
        <f>'Excess Power'!L17</f>
        <v>44.361100353770603</v>
      </c>
      <c r="H18" s="34">
        <f t="shared" si="1"/>
        <v>5.938142880977054</v>
      </c>
      <c r="J18" s="19">
        <f>'Excess Power'!N17</f>
        <v>11.347841269802784</v>
      </c>
      <c r="K18" s="19">
        <f>'Excess Power'!P17</f>
        <v>44.27231144147332</v>
      </c>
      <c r="L18" s="34">
        <f t="shared" si="2"/>
        <v>3.9129130327337265</v>
      </c>
      <c r="N18" s="19">
        <f>'Excess Power'!R17</f>
        <v>15.0606416852584</v>
      </c>
      <c r="O18" s="19">
        <f>'Excess Power'!T17</f>
        <v>44.1721682070702</v>
      </c>
      <c r="P18" s="34">
        <f t="shared" si="3"/>
        <v>2.9416194749011257</v>
      </c>
      <c r="R18" s="19">
        <f>'Excess Power'!V17</f>
        <v>17.952284888828011</v>
      </c>
      <c r="S18" s="19">
        <f>'Excess Power'!X17</f>
        <v>44.081157944048854</v>
      </c>
      <c r="T18" s="34">
        <f t="shared" si="4"/>
        <v>2.4627170303205803</v>
      </c>
      <c r="V18" s="19">
        <f>'Excess Power'!Z17</f>
        <v>53.139891294376852</v>
      </c>
      <c r="W18" s="19">
        <f>'Excess Power'!AB17</f>
        <v>41.200172594974163</v>
      </c>
      <c r="X18" s="34">
        <f t="shared" si="5"/>
        <v>0.77760603891212177</v>
      </c>
    </row>
    <row r="19" spans="2:24" x14ac:dyDescent="0.3">
      <c r="B19" s="19">
        <f>'Excess Power'!F18</f>
        <v>11.602342913507156</v>
      </c>
      <c r="C19" s="19">
        <f>'Excess Power'!H18</f>
        <v>45.575100894027045</v>
      </c>
      <c r="D19" s="34">
        <f t="shared" si="0"/>
        <v>3.9397003641393664</v>
      </c>
      <c r="F19" s="19">
        <f>'Excess Power'!J18</f>
        <v>7.6073312418475876</v>
      </c>
      <c r="G19" s="19">
        <f>'Excess Power'!L18</f>
        <v>45.667772521726228</v>
      </c>
      <c r="H19" s="34">
        <f t="shared" si="1"/>
        <v>6.0208631089298335</v>
      </c>
      <c r="J19" s="19">
        <f>'Excess Power'!N18</f>
        <v>11.521596495238187</v>
      </c>
      <c r="K19" s="19">
        <f>'Excess Power'!P18</f>
        <v>45.577123179591332</v>
      </c>
      <c r="L19" s="34">
        <f t="shared" si="2"/>
        <v>3.96748687394193</v>
      </c>
      <c r="N19" s="19">
        <f>'Excess Power'!R18</f>
        <v>15.2912463552574</v>
      </c>
      <c r="O19" s="19">
        <f>'Excess Power'!T18</f>
        <v>45.474505656488247</v>
      </c>
      <c r="P19" s="34">
        <f t="shared" si="3"/>
        <v>2.9826778727420216</v>
      </c>
      <c r="R19" s="19">
        <f>'Excess Power'!V18</f>
        <v>18.22716565546682</v>
      </c>
      <c r="S19" s="19">
        <f>'Excess Power'!X18</f>
        <v>45.38096126408275</v>
      </c>
      <c r="T19" s="34">
        <f t="shared" si="4"/>
        <v>2.4970992329384605</v>
      </c>
      <c r="V19" s="19">
        <f>'Excess Power'!Z18</f>
        <v>53.953555635632455</v>
      </c>
      <c r="W19" s="19">
        <f>'Excess Power'!AB18</f>
        <v>42.386418604368579</v>
      </c>
      <c r="X19" s="34">
        <f t="shared" si="5"/>
        <v>0.78793048398676202</v>
      </c>
    </row>
    <row r="20" spans="2:24" x14ac:dyDescent="0.3">
      <c r="B20" s="19">
        <f>'Excess Power'!F19</f>
        <v>11.835640177978965</v>
      </c>
      <c r="C20" s="19">
        <f>'Excess Power'!H19</f>
        <v>47.532838637963479</v>
      </c>
      <c r="D20" s="34">
        <f t="shared" si="0"/>
        <v>4.0279423718036291</v>
      </c>
      <c r="F20" s="19">
        <f>'Excess Power'!J19</f>
        <v>7.7602977230044079</v>
      </c>
      <c r="G20" s="19">
        <f>'Excess Power'!L19</f>
        <v>47.628087697754225</v>
      </c>
      <c r="H20" s="34">
        <f t="shared" si="1"/>
        <v>6.1555379384692683</v>
      </c>
      <c r="J20" s="19">
        <f>'Excess Power'!N19</f>
        <v>11.753270129152058</v>
      </c>
      <c r="K20" s="19">
        <f>'Excess Power'!P19</f>
        <v>47.534922202012211</v>
      </c>
      <c r="L20" s="34">
        <f t="shared" si="2"/>
        <v>4.056349064256203</v>
      </c>
      <c r="N20" s="19">
        <f>'Excess Power'!R19</f>
        <v>15.598719248589399</v>
      </c>
      <c r="O20" s="19">
        <f>'Excess Power'!T19</f>
        <v>47.42893879298483</v>
      </c>
      <c r="P20" s="34">
        <f t="shared" si="3"/>
        <v>3.0495497092052126</v>
      </c>
      <c r="R20" s="19">
        <f>'Excess Power'!V19</f>
        <v>18.593673344318564</v>
      </c>
      <c r="S20" s="19">
        <f>'Excess Power'!X19</f>
        <v>47.331934543490043</v>
      </c>
      <c r="T20" s="34">
        <f t="shared" si="4"/>
        <v>2.5531146006744119</v>
      </c>
      <c r="V20" s="19">
        <f>'Excess Power'!Z19</f>
        <v>55.038441423973268</v>
      </c>
      <c r="W20" s="19">
        <f>'Excess Power'!AB19</f>
        <v>44.181049449517076</v>
      </c>
      <c r="X20" s="34">
        <f t="shared" si="5"/>
        <v>0.80510245606344977</v>
      </c>
    </row>
    <row r="21" spans="2:24" x14ac:dyDescent="0.3">
      <c r="B21" s="19">
        <f>'Excess Power'!F20</f>
        <v>12.068937442450773</v>
      </c>
      <c r="C21" s="19">
        <f>'Excess Power'!H20</f>
        <v>49.490517000898258</v>
      </c>
      <c r="D21" s="34">
        <f t="shared" si="0"/>
        <v>4.1127679399808788</v>
      </c>
      <c r="F21" s="19">
        <f>'Excess Power'!J20</f>
        <v>7.9132642041612282</v>
      </c>
      <c r="G21" s="19">
        <f>'Excess Power'!L20</f>
        <v>49.588386135634025</v>
      </c>
      <c r="H21" s="34">
        <f t="shared" si="1"/>
        <v>6.2850040126722897</v>
      </c>
      <c r="J21" s="19">
        <f>'Excess Power'!N20</f>
        <v>11.984943763065928</v>
      </c>
      <c r="K21" s="19">
        <f>'Excess Power'!P20</f>
        <v>49.492663074608089</v>
      </c>
      <c r="L21" s="34">
        <f t="shared" si="2"/>
        <v>4.1417709067856441</v>
      </c>
      <c r="N21" s="19">
        <f>'Excess Power'!R20</f>
        <v>15.9061921419214</v>
      </c>
      <c r="O21" s="19">
        <f>'Excess Power'!T20</f>
        <v>49.383235992042536</v>
      </c>
      <c r="P21" s="34">
        <f t="shared" si="3"/>
        <v>3.1138276568995766</v>
      </c>
      <c r="R21" s="19">
        <f>'Excess Power'!V20</f>
        <v>18.960181033170308</v>
      </c>
      <c r="S21" s="19">
        <f>'Excess Power'!X20</f>
        <v>49.282677589750456</v>
      </c>
      <c r="T21" s="34">
        <f t="shared" si="4"/>
        <v>2.6069521917716756</v>
      </c>
      <c r="V21" s="19">
        <f>'Excess Power'!Z20</f>
        <v>56.123327212314081</v>
      </c>
      <c r="W21" s="19">
        <f>'Excess Power'!AB20</f>
        <v>45.969708970616608</v>
      </c>
      <c r="X21" s="34">
        <f t="shared" si="5"/>
        <v>0.82150383548868522</v>
      </c>
    </row>
    <row r="22" spans="2:24" x14ac:dyDescent="0.3">
      <c r="B22" s="19">
        <f>'Excess Power'!F21</f>
        <v>12.243910390804631</v>
      </c>
      <c r="C22" s="19">
        <f>'Excess Power'!H21</f>
        <v>50.795161100197852</v>
      </c>
      <c r="D22" s="34">
        <f t="shared" si="0"/>
        <v>4.1608633260498236</v>
      </c>
      <c r="F22" s="19">
        <f>'Excess Power'!J21</f>
        <v>8.0279890650288461</v>
      </c>
      <c r="G22" s="19">
        <f>'Excess Power'!L21</f>
        <v>50.895023781159026</v>
      </c>
      <c r="H22" s="34">
        <f t="shared" si="1"/>
        <v>6.3584286212710746</v>
      </c>
      <c r="J22" s="19">
        <f>'Excess Power'!N21</f>
        <v>12.158698988501332</v>
      </c>
      <c r="K22" s="19">
        <f>'Excess Power'!P21</f>
        <v>50.797354878712028</v>
      </c>
      <c r="L22" s="34">
        <f t="shared" si="2"/>
        <v>4.1902047267436782</v>
      </c>
      <c r="N22" s="19">
        <f>'Excess Power'!R21</f>
        <v>16.136796811920398</v>
      </c>
      <c r="O22" s="19">
        <f>'Excess Power'!T21</f>
        <v>50.685293070492897</v>
      </c>
      <c r="P22" s="34">
        <f t="shared" si="3"/>
        <v>3.1502562537810674</v>
      </c>
      <c r="R22" s="19">
        <f>'Excess Power'!V21</f>
        <v>19.235061799809117</v>
      </c>
      <c r="S22" s="19">
        <f>'Excess Power'!X21</f>
        <v>50.582006053918917</v>
      </c>
      <c r="T22" s="34">
        <f t="shared" si="4"/>
        <v>2.63744683630238</v>
      </c>
      <c r="V22" s="19">
        <f>'Excess Power'!Z21</f>
        <v>56.936991553569683</v>
      </c>
      <c r="W22" s="19">
        <f>'Excess Power'!AB21</f>
        <v>47.143639124160032</v>
      </c>
      <c r="X22" s="34">
        <f t="shared" si="5"/>
        <v>0.83044301883000748</v>
      </c>
    </row>
    <row r="23" spans="2:24" x14ac:dyDescent="0.3">
      <c r="B23" s="19">
        <f>'Excess Power'!F22</f>
        <v>12.418883339158489</v>
      </c>
      <c r="C23" s="19">
        <f>'Excess Power'!H22</f>
        <v>52.099680645489016</v>
      </c>
      <c r="D23" s="34">
        <f t="shared" si="0"/>
        <v>4.2075933957250742</v>
      </c>
      <c r="F23" s="19">
        <f>'Excess Power'!J22</f>
        <v>8.1427139258964623</v>
      </c>
      <c r="G23" s="19">
        <f>'Excess Power'!L22</f>
        <v>52.201561686698213</v>
      </c>
      <c r="H23" s="34">
        <f t="shared" si="1"/>
        <v>6.4297719470398524</v>
      </c>
      <c r="J23" s="19">
        <f>'Excess Power'!N22</f>
        <v>12.332454213936735</v>
      </c>
      <c r="K23" s="19">
        <f>'Excess Power'!P22</f>
        <v>52.10192284523346</v>
      </c>
      <c r="L23" s="34">
        <f t="shared" si="2"/>
        <v>4.237263681505933</v>
      </c>
      <c r="N23" s="19">
        <f>'Excess Power'!R22</f>
        <v>16.367401481919398</v>
      </c>
      <c r="O23" s="19">
        <f>'Excess Power'!T22</f>
        <v>51.987181046481567</v>
      </c>
      <c r="P23" s="34">
        <f t="shared" si="3"/>
        <v>3.1856479841064274</v>
      </c>
      <c r="R23" s="19">
        <f>'Excess Power'!V22</f>
        <v>19.509942566447926</v>
      </c>
      <c r="S23" s="19">
        <f>'Excess Power'!X22</f>
        <v>51.881110544629934</v>
      </c>
      <c r="T23" s="34">
        <f t="shared" si="4"/>
        <v>2.6670706726452438</v>
      </c>
      <c r="V23" s="19">
        <f>'Excess Power'!Z22</f>
        <v>57.750655894825293</v>
      </c>
      <c r="W23" s="19">
        <f>'Excess Power'!AB22</f>
        <v>48.31400454376832</v>
      </c>
      <c r="X23" s="34">
        <f t="shared" si="5"/>
        <v>0.83906840044436504</v>
      </c>
    </row>
    <row r="24" spans="2:24" x14ac:dyDescent="0.3">
      <c r="B24" s="19">
        <f>'Excess Power'!F23</f>
        <v>12.652180603630294</v>
      </c>
      <c r="C24" s="19">
        <f>'Excess Power'!H23</f>
        <v>54.057205435052992</v>
      </c>
      <c r="D24" s="34">
        <f t="shared" si="0"/>
        <v>4.2851838433368616</v>
      </c>
      <c r="F24" s="19">
        <f>'Excess Power'!J23</f>
        <v>8.2956804070532808</v>
      </c>
      <c r="G24" s="19">
        <f>'Excess Power'!L23</f>
        <v>54.161816835752184</v>
      </c>
      <c r="H24" s="34">
        <f t="shared" si="1"/>
        <v>6.5482079492006262</v>
      </c>
      <c r="J24" s="19">
        <f>'Excess Power'!N23</f>
        <v>12.564127847850605</v>
      </c>
      <c r="K24" s="19">
        <f>'Excess Power'!P23</f>
        <v>54.059513328573694</v>
      </c>
      <c r="L24" s="34">
        <f t="shared" si="2"/>
        <v>4.3153997853682355</v>
      </c>
      <c r="N24" s="19">
        <f>'Excess Power'!R23</f>
        <v>16.674874375251395</v>
      </c>
      <c r="O24" s="19">
        <f>'Excess Power'!T23</f>
        <v>53.941126679042789</v>
      </c>
      <c r="P24" s="34">
        <f t="shared" si="3"/>
        <v>3.2444321301742813</v>
      </c>
      <c r="R24" s="19">
        <f>'Excess Power'!V23</f>
        <v>19.876450255299666</v>
      </c>
      <c r="S24" s="19">
        <f>'Excess Power'!X23</f>
        <v>53.831258153301633</v>
      </c>
      <c r="T24" s="34">
        <f t="shared" si="4"/>
        <v>2.7162951311185699</v>
      </c>
      <c r="V24" s="19">
        <f>'Excess Power'!Z23</f>
        <v>58.835541683166099</v>
      </c>
      <c r="W24" s="19">
        <f>'Excess Power'!AB23</f>
        <v>50.087220802933849</v>
      </c>
      <c r="X24" s="34">
        <f t="shared" si="5"/>
        <v>0.85382413990523642</v>
      </c>
    </row>
    <row r="25" spans="2:24" x14ac:dyDescent="0.3">
      <c r="B25" s="19">
        <f>'Excess Power'!F24</f>
        <v>12.82715355198415</v>
      </c>
      <c r="C25" s="19">
        <f>'Excess Power'!H24</f>
        <v>56.016302433999471</v>
      </c>
      <c r="D25" s="34">
        <f t="shared" si="0"/>
        <v>4.3799121073939178</v>
      </c>
      <c r="F25" s="19">
        <f>'Excess Power'!J24</f>
        <v>8.4104052679208987</v>
      </c>
      <c r="G25" s="19">
        <f>'Excess Power'!L24</f>
        <v>56.122991473362049</v>
      </c>
      <c r="H25" s="34">
        <f t="shared" si="1"/>
        <v>6.6927582690233534</v>
      </c>
      <c r="J25" s="19">
        <f>'Excess Power'!N24</f>
        <v>12.737883073286007</v>
      </c>
      <c r="K25" s="19">
        <f>'Excess Power'!P24</f>
        <v>56.018660460225981</v>
      </c>
      <c r="L25" s="34">
        <f t="shared" si="2"/>
        <v>4.4107933646123954</v>
      </c>
      <c r="N25" s="19">
        <f>'Excess Power'!R24</f>
        <v>16.905479045250399</v>
      </c>
      <c r="O25" s="19">
        <f>'Excess Power'!T24</f>
        <v>55.897485686533571</v>
      </c>
      <c r="P25" s="34">
        <f t="shared" si="3"/>
        <v>3.316240681422161</v>
      </c>
      <c r="R25" s="19">
        <f>'Excess Power'!V24</f>
        <v>20.151331021938471</v>
      </c>
      <c r="S25" s="19">
        <f>'Excess Power'!X24</f>
        <v>55.784702593758006</v>
      </c>
      <c r="T25" s="34">
        <f t="shared" si="4"/>
        <v>2.7764677664382624</v>
      </c>
      <c r="V25" s="19">
        <f>'Excess Power'!Z24</f>
        <v>59.649206024421694</v>
      </c>
      <c r="W25" s="19">
        <f>'Excess Power'!AB24</f>
        <v>51.903945403097438</v>
      </c>
      <c r="X25" s="34">
        <f t="shared" si="5"/>
        <v>0.87272407193060952</v>
      </c>
    </row>
    <row r="26" spans="2:24" x14ac:dyDescent="0.3">
      <c r="B26" s="19">
        <f>'Excess Power'!F25</f>
        <v>13.002126500338008</v>
      </c>
      <c r="C26" s="19">
        <f>'Excess Power'!H25</f>
        <v>57.320703232944666</v>
      </c>
      <c r="D26" s="34">
        <f t="shared" si="0"/>
        <v>4.4215890265825655</v>
      </c>
      <c r="F26" s="19">
        <f>'Excess Power'!J25</f>
        <v>8.5251301287885131</v>
      </c>
      <c r="G26" s="19">
        <f>'Excess Power'!L25</f>
        <v>57.429495907018307</v>
      </c>
      <c r="H26" s="34">
        <f t="shared" si="1"/>
        <v>6.7563982124566717</v>
      </c>
      <c r="J26" s="19">
        <f>'Excess Power'!N25</f>
        <v>12.91163829872141</v>
      </c>
      <c r="K26" s="19">
        <f>'Excess Power'!P25</f>
        <v>57.323112142430105</v>
      </c>
      <c r="L26" s="34">
        <f t="shared" si="2"/>
        <v>4.4527638207263118</v>
      </c>
      <c r="N26" s="19">
        <f>'Excess Power'!R25</f>
        <v>17.136083715249399</v>
      </c>
      <c r="O26" s="19">
        <f>'Excess Power'!T25</f>
        <v>57.199101823487879</v>
      </c>
      <c r="P26" s="34">
        <f t="shared" si="3"/>
        <v>3.3477952210710011</v>
      </c>
      <c r="R26" s="19">
        <f>'Excess Power'!V25</f>
        <v>20.42621178857728</v>
      </c>
      <c r="S26" s="19">
        <f>'Excess Power'!X25</f>
        <v>57.083346678882144</v>
      </c>
      <c r="T26" s="34">
        <f t="shared" si="4"/>
        <v>2.8028693041045849</v>
      </c>
      <c r="V26" s="19">
        <f>'Excess Power'!Z25</f>
        <v>60.462870365677304</v>
      </c>
      <c r="W26" s="19">
        <f>'Excess Power'!AB25</f>
        <v>53.062369749100739</v>
      </c>
      <c r="X26" s="34">
        <f t="shared" si="5"/>
        <v>0.88019547551386235</v>
      </c>
    </row>
    <row r="27" spans="2:24" x14ac:dyDescent="0.3">
      <c r="B27" s="19">
        <f>'Excess Power'!F26</f>
        <v>13.235423764809818</v>
      </c>
      <c r="C27" s="19">
        <f>'Excess Power'!H26</f>
        <v>58.623497133614023</v>
      </c>
      <c r="D27" s="34">
        <f t="shared" si="0"/>
        <v>4.4423740384442887</v>
      </c>
      <c r="F27" s="19">
        <f>'Excess Power'!J26</f>
        <v>8.6780966099453352</v>
      </c>
      <c r="G27" s="19">
        <f>'Excess Power'!L26</f>
        <v>58.735135705167366</v>
      </c>
      <c r="H27" s="34">
        <f t="shared" si="1"/>
        <v>6.7882018351669693</v>
      </c>
      <c r="J27" s="19">
        <f>'Excess Power'!N26</f>
        <v>13.143311932635282</v>
      </c>
      <c r="K27" s="19">
        <f>'Excess Power'!P26</f>
        <v>58.625975072667359</v>
      </c>
      <c r="L27" s="34">
        <f t="shared" si="2"/>
        <v>4.4736964687596181</v>
      </c>
      <c r="N27" s="19">
        <f>'Excess Power'!R26</f>
        <v>17.443556608581396</v>
      </c>
      <c r="O27" s="19">
        <f>'Excess Power'!T26</f>
        <v>58.498109142553666</v>
      </c>
      <c r="P27" s="34">
        <f t="shared" si="3"/>
        <v>3.3634737331122597</v>
      </c>
      <c r="R27" s="19">
        <f>'Excess Power'!V26</f>
        <v>20.792719477429024</v>
      </c>
      <c r="S27" s="19">
        <f>'Excess Power'!X26</f>
        <v>58.378300486077272</v>
      </c>
      <c r="T27" s="34">
        <f t="shared" si="4"/>
        <v>2.8159270792827615</v>
      </c>
      <c r="V27" s="19">
        <f>'Excess Power'!Z26</f>
        <v>61.54775615401811</v>
      </c>
      <c r="W27" s="19">
        <f>'Excess Power'!AB26</f>
        <v>54.164837100887183</v>
      </c>
      <c r="X27" s="34">
        <f t="shared" si="5"/>
        <v>0.88264581795957542</v>
      </c>
    </row>
    <row r="28" spans="2:24" x14ac:dyDescent="0.3">
      <c r="B28" s="19">
        <f>'Excess Power'!F27</f>
        <v>13.410396713163674</v>
      </c>
      <c r="C28" s="19">
        <f>'Excess Power'!H27</f>
        <v>60.582471545564523</v>
      </c>
      <c r="D28" s="34">
        <f t="shared" si="0"/>
        <v>4.5309222770308519</v>
      </c>
      <c r="F28" s="19">
        <f>'Excess Power'!J27</f>
        <v>8.7928214708129513</v>
      </c>
      <c r="G28" s="19">
        <f>'Excess Power'!L27</f>
        <v>60.696275788302778</v>
      </c>
      <c r="H28" s="34">
        <f t="shared" si="1"/>
        <v>6.9233301160625764</v>
      </c>
      <c r="J28" s="19">
        <f>'Excess Power'!N27</f>
        <v>13.317067158070683</v>
      </c>
      <c r="K28" s="19">
        <f>'Excess Power'!P27</f>
        <v>60.585002158982491</v>
      </c>
      <c r="L28" s="34">
        <f t="shared" si="2"/>
        <v>4.562866776931398</v>
      </c>
      <c r="N28" s="19">
        <f>'Excess Power'!R27</f>
        <v>17.674161278580396</v>
      </c>
      <c r="O28" s="19">
        <f>'Excess Power'!T27</f>
        <v>60.454187518835631</v>
      </c>
      <c r="P28" s="34">
        <f t="shared" si="3"/>
        <v>3.430590069202295</v>
      </c>
      <c r="R28" s="19">
        <f>'Excess Power'!V27</f>
        <v>21.067600244067837</v>
      </c>
      <c r="S28" s="19">
        <f>'Excess Power'!X27</f>
        <v>60.331269629905634</v>
      </c>
      <c r="T28" s="34">
        <f t="shared" si="4"/>
        <v>2.8721601135086927</v>
      </c>
      <c r="V28" s="19">
        <f>'Excess Power'!Z27</f>
        <v>62.361420495273734</v>
      </c>
      <c r="W28" s="19">
        <f>'Excess Power'!AB27</f>
        <v>55.969234413587102</v>
      </c>
      <c r="X28" s="34">
        <f t="shared" si="5"/>
        <v>0.900149445200218</v>
      </c>
    </row>
    <row r="29" spans="2:24" x14ac:dyDescent="0.3">
      <c r="B29" s="19">
        <f>'Excess Power'!F28</f>
        <v>13.702018293753435</v>
      </c>
      <c r="C29" s="19">
        <f>'Excess Power'!H28</f>
        <v>62.538114552755339</v>
      </c>
      <c r="D29" s="34">
        <f t="shared" si="0"/>
        <v>4.5776384843565374</v>
      </c>
      <c r="F29" s="19">
        <f>'Excess Power'!J28</f>
        <v>8.9840295722589776</v>
      </c>
      <c r="G29" s="19">
        <f>'Excess Power'!L28</f>
        <v>62.655588818300501</v>
      </c>
      <c r="H29" s="34">
        <f t="shared" si="1"/>
        <v>6.9947129067212757</v>
      </c>
      <c r="J29" s="19">
        <f>'Excess Power'!N28</f>
        <v>13.606659200463023</v>
      </c>
      <c r="K29" s="19">
        <f>'Excess Power'!P28</f>
        <v>62.540734705570969</v>
      </c>
      <c r="L29" s="34">
        <f t="shared" si="2"/>
        <v>4.6099129275527648</v>
      </c>
      <c r="N29" s="19">
        <f>'Excess Power'!R28</f>
        <v>18.058502395245391</v>
      </c>
      <c r="O29" s="19">
        <f>'Excess Power'!T28</f>
        <v>62.404895057491736</v>
      </c>
      <c r="P29" s="34">
        <f t="shared" si="3"/>
        <v>3.4659171500846226</v>
      </c>
      <c r="R29" s="19">
        <f>'Excess Power'!V28</f>
        <v>21.525734855132516</v>
      </c>
      <c r="S29" s="19">
        <f>'Excess Power'!X28</f>
        <v>62.276661174807757</v>
      </c>
      <c r="T29" s="34">
        <f t="shared" si="4"/>
        <v>2.9016737789145983</v>
      </c>
      <c r="V29" s="19">
        <f>'Excess Power'!Z28</f>
        <v>63.717527730699729</v>
      </c>
      <c r="W29" s="19">
        <f>'Excess Power'!AB28</f>
        <v>57.658851470160045</v>
      </c>
      <c r="X29" s="34">
        <f t="shared" si="5"/>
        <v>0.90758711499446409</v>
      </c>
    </row>
    <row r="30" spans="2:24" x14ac:dyDescent="0.3">
      <c r="B30" s="19">
        <f>'Excess Power'!F29</f>
        <v>13.993639874343195</v>
      </c>
      <c r="C30" s="19">
        <f>'Excess Power'!H29</f>
        <v>65.148220146083418</v>
      </c>
      <c r="D30" s="34">
        <f t="shared" si="0"/>
        <v>4.6693143535576791</v>
      </c>
      <c r="F30" s="19">
        <f>'Excess Power'!J29</f>
        <v>9.1752376737050039</v>
      </c>
      <c r="G30" s="19">
        <f>'Excess Power'!L29</f>
        <v>65.269441570783485</v>
      </c>
      <c r="H30" s="34">
        <f t="shared" si="1"/>
        <v>7.1346689241961831</v>
      </c>
      <c r="J30" s="19">
        <f>'Excess Power'!N29</f>
        <v>13.89625124285536</v>
      </c>
      <c r="K30" s="19">
        <f>'Excess Power'!P29</f>
        <v>65.150932065363207</v>
      </c>
      <c r="L30" s="34">
        <f t="shared" si="2"/>
        <v>4.7022338840593498</v>
      </c>
      <c r="N30" s="19">
        <f>'Excess Power'!R29</f>
        <v>18.442843511910393</v>
      </c>
      <c r="O30" s="19">
        <f>'Excess Power'!T29</f>
        <v>65.009926699901641</v>
      </c>
      <c r="P30" s="34">
        <f t="shared" si="3"/>
        <v>3.5353551333462052</v>
      </c>
      <c r="R30" s="19">
        <f>'Excess Power'!V29</f>
        <v>21.983869466197191</v>
      </c>
      <c r="S30" s="19">
        <f>'Excess Power'!X29</f>
        <v>64.87620625264212</v>
      </c>
      <c r="T30" s="34">
        <f t="shared" si="4"/>
        <v>2.9598013240109351</v>
      </c>
      <c r="V30" s="19">
        <f>'Excess Power'!Z29</f>
        <v>65.073634966125738</v>
      </c>
      <c r="W30" s="19">
        <f>'Excess Power'!AB29</f>
        <v>59.992237042016242</v>
      </c>
      <c r="X30" s="34">
        <f t="shared" si="5"/>
        <v>0.92463694189817625</v>
      </c>
    </row>
    <row r="31" spans="2:24" x14ac:dyDescent="0.3">
      <c r="B31" s="19">
        <f>'Excess Power'!F30</f>
        <v>14.285261454932956</v>
      </c>
      <c r="C31" s="19">
        <f>'Excess Power'!H30</f>
        <v>67.10364603944754</v>
      </c>
      <c r="D31" s="34">
        <f t="shared" si="0"/>
        <v>4.7112828158000752</v>
      </c>
      <c r="F31" s="19">
        <f>'Excess Power'!J30</f>
        <v>9.3664457751510302</v>
      </c>
      <c r="G31" s="19">
        <f>'Excess Power'!L30</f>
        <v>67.228693401352018</v>
      </c>
      <c r="H31" s="34">
        <f t="shared" si="1"/>
        <v>7.198816418789205</v>
      </c>
      <c r="J31" s="19">
        <f>'Excess Power'!N30</f>
        <v>14.185843285247698</v>
      </c>
      <c r="K31" s="19">
        <f>'Excess Power'!P30</f>
        <v>67.106451999656898</v>
      </c>
      <c r="L31" s="34">
        <f t="shared" si="2"/>
        <v>4.7444991255736939</v>
      </c>
      <c r="N31" s="19">
        <f>'Excess Power'!R30</f>
        <v>18.827184628575392</v>
      </c>
      <c r="O31" s="19">
        <f>'Excess Power'!T30</f>
        <v>66.960137212628169</v>
      </c>
      <c r="P31" s="34">
        <f t="shared" si="3"/>
        <v>3.5670747011071917</v>
      </c>
      <c r="R31" s="19">
        <f>'Excess Power'!V30</f>
        <v>22.442004077261871</v>
      </c>
      <c r="S31" s="19">
        <f>'Excess Power'!X30</f>
        <v>66.820755999693759</v>
      </c>
      <c r="T31" s="34">
        <f t="shared" si="4"/>
        <v>2.9862832539320516</v>
      </c>
      <c r="V31" s="19">
        <f>'Excess Power'!Z30</f>
        <v>66.429742201551747</v>
      </c>
      <c r="W31" s="19">
        <f>'Excess Power'!AB30</f>
        <v>61.660021239954126</v>
      </c>
      <c r="X31" s="34">
        <f t="shared" si="5"/>
        <v>0.93094142060348428</v>
      </c>
    </row>
    <row r="32" spans="2:24" x14ac:dyDescent="0.3">
      <c r="B32" s="19">
        <f>'Excess Power'!F31</f>
        <v>14.51845381955563</v>
      </c>
      <c r="C32" s="19">
        <f>'Excess Power'!H31</f>
        <v>69.060633233911503</v>
      </c>
      <c r="D32" s="34">
        <f t="shared" si="0"/>
        <v>4.7708025162173087</v>
      </c>
      <c r="F32" s="19">
        <f>'Excess Power'!J31</f>
        <v>9.5193434764152443</v>
      </c>
      <c r="G32" s="19">
        <f>'Excess Power'!L31</f>
        <v>69.188797755070524</v>
      </c>
      <c r="H32" s="34">
        <f t="shared" si="1"/>
        <v>7.2897064146187374</v>
      </c>
      <c r="J32" s="19">
        <f>'Excess Power'!N31</f>
        <v>14.417412749362148</v>
      </c>
      <c r="K32" s="19">
        <f>'Excess Power'!P31</f>
        <v>69.063516061415768</v>
      </c>
      <c r="L32" s="34">
        <f t="shared" si="2"/>
        <v>4.8044381168136061</v>
      </c>
      <c r="N32" s="19">
        <f>'Excess Power'!R31</f>
        <v>19.134519269707152</v>
      </c>
      <c r="O32" s="19">
        <f>'Excess Power'!T31</f>
        <v>68.91285023627799</v>
      </c>
      <c r="P32" s="34">
        <f t="shared" si="3"/>
        <v>3.6121344576513716</v>
      </c>
      <c r="R32" s="19">
        <f>'Excess Power'!V31</f>
        <v>22.808346969490927</v>
      </c>
      <c r="S32" s="19">
        <f>'Excess Power'!X31</f>
        <v>68.768814666059228</v>
      </c>
      <c r="T32" s="34">
        <f t="shared" si="4"/>
        <v>3.0239804465928266</v>
      </c>
      <c r="V32" s="19">
        <f>'Excess Power'!Z31</f>
        <v>67.514140181534486</v>
      </c>
      <c r="W32" s="19">
        <f>'Excess Power'!AB31</f>
        <v>63.378987217293478</v>
      </c>
      <c r="X32" s="34">
        <f t="shared" si="5"/>
        <v>0.94152488863771044</v>
      </c>
    </row>
    <row r="33" spans="2:24" x14ac:dyDescent="0.3">
      <c r="B33" s="19">
        <f>'Excess Power'!F32</f>
        <v>14.751751084027442</v>
      </c>
      <c r="C33" s="19">
        <f>'Excess Power'!H32</f>
        <v>70.363064619818815</v>
      </c>
      <c r="D33" s="34">
        <f t="shared" si="0"/>
        <v>4.7839036254462277</v>
      </c>
      <c r="F33" s="19">
        <f>'Excess Power'!J32</f>
        <v>9.6723099575720646</v>
      </c>
      <c r="G33" s="19">
        <f>'Excess Power'!L32</f>
        <v>70.494399999642965</v>
      </c>
      <c r="H33" s="34">
        <f t="shared" si="1"/>
        <v>7.3098028515290201</v>
      </c>
      <c r="J33" s="19">
        <f>'Excess Power'!N32</f>
        <v>14.649086383276018</v>
      </c>
      <c r="K33" s="19">
        <f>'Excess Power'!P32</f>
        <v>70.366025859110735</v>
      </c>
      <c r="L33" s="34">
        <f t="shared" si="2"/>
        <v>4.8176332389941541</v>
      </c>
      <c r="N33" s="19">
        <f>'Excess Power'!R32</f>
        <v>19.441992163039153</v>
      </c>
      <c r="O33" s="19">
        <f>'Excess Power'!T32</f>
        <v>70.210911639880933</v>
      </c>
      <c r="P33" s="34">
        <f t="shared" si="3"/>
        <v>3.6219720890329952</v>
      </c>
      <c r="R33" s="19">
        <f>'Excess Power'!V32</f>
        <v>23.174854658342671</v>
      </c>
      <c r="S33" s="19">
        <f>'Excess Power'!X32</f>
        <v>70.062103974428425</v>
      </c>
      <c r="T33" s="34">
        <f t="shared" si="4"/>
        <v>3.03212713439676</v>
      </c>
      <c r="V33" s="19">
        <f>'Excess Power'!Z32</f>
        <v>68.599025969875285</v>
      </c>
      <c r="W33" s="19">
        <f>'Excess Power'!AB32</f>
        <v>64.436039909236712</v>
      </c>
      <c r="X33" s="34">
        <f t="shared" si="5"/>
        <v>0.94208945687420742</v>
      </c>
    </row>
    <row r="34" spans="2:24" x14ac:dyDescent="0.3">
      <c r="B34" s="19">
        <f>'Excess Power'!F33</f>
        <v>14.926724032381298</v>
      </c>
      <c r="C34" s="19">
        <f>'Excess Power'!H33</f>
        <v>72.321604653198165</v>
      </c>
      <c r="D34" s="34">
        <f t="shared" si="0"/>
        <v>4.8594240748430293</v>
      </c>
      <c r="F34" s="19">
        <f>'Excess Power'!J33</f>
        <v>9.7870348184396825</v>
      </c>
      <c r="G34" s="19">
        <f>'Excess Power'!L33</f>
        <v>72.455353010324302</v>
      </c>
      <c r="H34" s="34">
        <f t="shared" si="1"/>
        <v>7.4250707177727104</v>
      </c>
      <c r="J34" s="19">
        <f>'Excess Power'!N33</f>
        <v>14.822841608711421</v>
      </c>
      <c r="K34" s="19">
        <f>'Excess Power'!P33</f>
        <v>72.324625707031572</v>
      </c>
      <c r="L34" s="34">
        <f t="shared" si="2"/>
        <v>4.8936846264710159</v>
      </c>
      <c r="N34" s="19">
        <f>'Excess Power'!R33</f>
        <v>19.672596833038153</v>
      </c>
      <c r="O34" s="19">
        <f>'Excess Power'!T33</f>
        <v>72.166111650529629</v>
      </c>
      <c r="P34" s="34">
        <f t="shared" si="3"/>
        <v>3.6791954982844515</v>
      </c>
      <c r="R34" s="19">
        <f>'Excess Power'!V33</f>
        <v>23.44973542498148</v>
      </c>
      <c r="S34" s="19">
        <f>'Excess Power'!X33</f>
        <v>72.013647887122985</v>
      </c>
      <c r="T34" s="34">
        <f t="shared" si="4"/>
        <v>3.0800524685753539</v>
      </c>
      <c r="V34" s="19">
        <f>'Excess Power'!Z33</f>
        <v>69.412690311130902</v>
      </c>
      <c r="W34" s="19">
        <f>'Excess Power'!AB33</f>
        <v>66.20571668376941</v>
      </c>
      <c r="X34" s="34">
        <f t="shared" si="5"/>
        <v>0.95661649455494979</v>
      </c>
    </row>
    <row r="35" spans="2:24" x14ac:dyDescent="0.3">
      <c r="B35" s="19">
        <f>'Excess Power'!F34</f>
        <v>15.160021296853104</v>
      </c>
      <c r="C35" s="19">
        <f>'Excess Power'!H34</f>
        <v>74.278385750810187</v>
      </c>
      <c r="D35" s="34">
        <f t="shared" si="0"/>
        <v>4.9140989421476196</v>
      </c>
      <c r="F35" s="19">
        <f>'Excess Power'!J34</f>
        <v>9.9400012995965028</v>
      </c>
      <c r="G35" s="19">
        <f>'Excess Power'!L34</f>
        <v>74.415398529601902</v>
      </c>
      <c r="H35" s="34">
        <f t="shared" si="1"/>
        <v>7.5085767051263277</v>
      </c>
      <c r="J35" s="19">
        <f>'Excess Power'!N34</f>
        <v>15.054515242625293</v>
      </c>
      <c r="K35" s="19">
        <f>'Excess Power'!P34</f>
        <v>74.281487917765048</v>
      </c>
      <c r="L35" s="34">
        <f t="shared" si="2"/>
        <v>4.9487449279872955</v>
      </c>
      <c r="N35" s="19">
        <f>'Excess Power'!R34</f>
        <v>19.980069726370154</v>
      </c>
      <c r="O35" s="19">
        <f>'Excess Power'!T34</f>
        <v>74.118354792791649</v>
      </c>
      <c r="P35" s="34">
        <f t="shared" si="3"/>
        <v>3.720574645589497</v>
      </c>
      <c r="R35" s="19">
        <f>'Excess Power'!V34</f>
        <v>23.816243113833224</v>
      </c>
      <c r="S35" s="19">
        <f>'Excess Power'!X34</f>
        <v>73.960912039240327</v>
      </c>
      <c r="T35" s="34">
        <f t="shared" si="4"/>
        <v>3.1146571926213733</v>
      </c>
      <c r="V35" s="19">
        <f>'Excess Power'!Z34</f>
        <v>70.497576099471701</v>
      </c>
      <c r="W35" s="19">
        <f>'Excess Power'!AB34</f>
        <v>67.904147649414568</v>
      </c>
      <c r="X35" s="34">
        <f t="shared" si="5"/>
        <v>0.96605837119990434</v>
      </c>
    </row>
    <row r="36" spans="2:24" x14ac:dyDescent="0.3">
      <c r="B36" s="19">
        <f>'Excess Power'!F35</f>
        <v>15.334994245206961</v>
      </c>
      <c r="C36" s="19">
        <f>'Excess Power'!H35</f>
        <v>76.236826723740563</v>
      </c>
      <c r="D36" s="34">
        <f t="shared" si="0"/>
        <v>4.9861167647653222</v>
      </c>
      <c r="F36" s="19">
        <f>'Excess Power'!J35</f>
        <v>10.054726160464117</v>
      </c>
      <c r="G36" s="19">
        <f>'Excess Power'!L35</f>
        <v>76.376323617405063</v>
      </c>
      <c r="H36" s="34">
        <f t="shared" si="1"/>
        <v>7.6185049413268047</v>
      </c>
      <c r="J36" s="19">
        <f>'Excess Power'!N35</f>
        <v>15.228270468060693</v>
      </c>
      <c r="K36" s="19">
        <f>'Excess Power'!P35</f>
        <v>76.239990759107812</v>
      </c>
      <c r="L36" s="34">
        <f t="shared" si="2"/>
        <v>5.0212691873076176</v>
      </c>
      <c r="N36" s="19">
        <f>'Excess Power'!R35</f>
        <v>20.21067439636915</v>
      </c>
      <c r="O36" s="19">
        <f>'Excess Power'!T35</f>
        <v>76.073328030173613</v>
      </c>
      <c r="P36" s="34">
        <f t="shared" si="3"/>
        <v>3.7751382580991097</v>
      </c>
      <c r="R36" s="19">
        <f>'Excess Power'!V35</f>
        <v>24.091123880472029</v>
      </c>
      <c r="S36" s="19">
        <f>'Excess Power'!X35</f>
        <v>75.912071872881612</v>
      </c>
      <c r="T36" s="34">
        <f t="shared" si="4"/>
        <v>3.1603489284073611</v>
      </c>
      <c r="V36" s="19">
        <f>'Excess Power'!Z35</f>
        <v>71.311240440727303</v>
      </c>
      <c r="W36" s="19">
        <f>'Excess Power'!AB35</f>
        <v>69.663862954373172</v>
      </c>
      <c r="X36" s="34">
        <f t="shared" si="5"/>
        <v>0.97978506014189448</v>
      </c>
    </row>
    <row r="37" spans="2:24" x14ac:dyDescent="0.3">
      <c r="B37" s="19">
        <f>'Excess Power'!F36</f>
        <v>15.568291509678767</v>
      </c>
      <c r="C37" s="19">
        <f>'Excess Power'!H36</f>
        <v>78.193473948450631</v>
      </c>
      <c r="D37" s="34">
        <f t="shared" si="0"/>
        <v>5.0374506459314325</v>
      </c>
      <c r="F37" s="19">
        <f>'Excess Power'!J36</f>
        <v>10.207692641620937</v>
      </c>
      <c r="G37" s="19">
        <f>'Excess Power'!L36</f>
        <v>78.336331400969073</v>
      </c>
      <c r="H37" s="34">
        <f t="shared" si="1"/>
        <v>7.696918629042826</v>
      </c>
      <c r="J37" s="19">
        <f>'Excess Power'!N36</f>
        <v>15.459944101974562</v>
      </c>
      <c r="K37" s="19">
        <f>'Excess Power'!P36</f>
        <v>78.196721872594622</v>
      </c>
      <c r="L37" s="34">
        <f t="shared" si="2"/>
        <v>5.0729651494501047</v>
      </c>
      <c r="N37" s="19">
        <f>'Excess Power'!R36</f>
        <v>20.518147289701147</v>
      </c>
      <c r="O37" s="19">
        <f>'Excess Power'!T36</f>
        <v>78.02526470506524</v>
      </c>
      <c r="P37" s="34">
        <f t="shared" si="3"/>
        <v>3.8139795368131955</v>
      </c>
      <c r="R37" s="19">
        <f>'Excess Power'!V36</f>
        <v>24.457631569323773</v>
      </c>
      <c r="S37" s="19">
        <f>'Excess Power'!X36</f>
        <v>77.858816970442049</v>
      </c>
      <c r="T37" s="34">
        <f t="shared" si="4"/>
        <v>3.1928216010156145</v>
      </c>
      <c r="V37" s="19">
        <f>'Excess Power'!Z36</f>
        <v>72.396126229068116</v>
      </c>
      <c r="W37" s="19">
        <f>'Excess Power'!AB36</f>
        <v>71.348831727452151</v>
      </c>
      <c r="X37" s="34">
        <f t="shared" si="5"/>
        <v>0.98844563682175823</v>
      </c>
    </row>
    <row r="38" spans="2:24" x14ac:dyDescent="0.3">
      <c r="B38" s="19">
        <f>'Excess Power'!F37</f>
        <v>15.743264458032627</v>
      </c>
      <c r="C38" s="19">
        <f>'Excess Power'!H37</f>
        <v>80.151813172477034</v>
      </c>
      <c r="D38" s="34">
        <f t="shared" si="0"/>
        <v>5.1062233987146772</v>
      </c>
      <c r="F38" s="19">
        <f>'Excess Power'!J37</f>
        <v>10.322417502488555</v>
      </c>
      <c r="G38" s="19">
        <f>'Excess Power'!L37</f>
        <v>80.297227808080024</v>
      </c>
      <c r="H38" s="34">
        <f t="shared" si="1"/>
        <v>7.8019000489078767</v>
      </c>
      <c r="J38" s="19">
        <f>'Excess Power'!N37</f>
        <v>15.633699327409969</v>
      </c>
      <c r="K38" s="19">
        <f>'Excess Power'!P37</f>
        <v>80.155125074645426</v>
      </c>
      <c r="L38" s="34">
        <f t="shared" si="2"/>
        <v>5.1422216425862244</v>
      </c>
      <c r="N38" s="19">
        <f>'Excess Power'!R37</f>
        <v>20.748751959700151</v>
      </c>
      <c r="O38" s="19">
        <f>'Excess Power'!T37</f>
        <v>79.980005014658346</v>
      </c>
      <c r="P38" s="34">
        <f t="shared" si="3"/>
        <v>3.8660787757611317</v>
      </c>
      <c r="R38" s="19">
        <f>'Excess Power'!V37</f>
        <v>24.732512335962582</v>
      </c>
      <c r="S38" s="19">
        <f>'Excess Power'!X37</f>
        <v>79.809582301301262</v>
      </c>
      <c r="T38" s="34">
        <f t="shared" si="4"/>
        <v>3.2364436840299429</v>
      </c>
      <c r="V38" s="19">
        <f>'Excess Power'!Z37</f>
        <v>73.209790570323719</v>
      </c>
      <c r="W38" s="19">
        <f>'Excess Power'!AB37</f>
        <v>73.098315213135592</v>
      </c>
      <c r="X38" s="34">
        <f t="shared" si="5"/>
        <v>1.0014273628833754</v>
      </c>
    </row>
    <row r="39" spans="2:24" x14ac:dyDescent="0.3">
      <c r="B39" s="19">
        <f>'Excess Power'!F38</f>
        <v>15.859913090268533</v>
      </c>
      <c r="C39" s="19">
        <f>'Excess Power'!H38</f>
        <v>82.11197800249289</v>
      </c>
      <c r="D39" s="34">
        <f t="shared" si="0"/>
        <v>5.1926250229199393</v>
      </c>
      <c r="F39" s="19">
        <f>'Excess Power'!J38</f>
        <v>10.398900743066966</v>
      </c>
      <c r="G39" s="19">
        <f>'Excess Power'!L38</f>
        <v>82.259115130463115</v>
      </c>
      <c r="H39" s="34">
        <f t="shared" si="1"/>
        <v>7.9337379463085682</v>
      </c>
      <c r="J39" s="19">
        <f>'Excess Power'!N38</f>
        <v>15.749536144366903</v>
      </c>
      <c r="K39" s="19">
        <f>'Excess Power'!P38</f>
        <v>82.115333067813921</v>
      </c>
      <c r="L39" s="34">
        <f t="shared" si="2"/>
        <v>5.2292299783911211</v>
      </c>
      <c r="N39" s="19">
        <f>'Excess Power'!R38</f>
        <v>20.90248840636615</v>
      </c>
      <c r="O39" s="19">
        <f>'Excess Power'!T38</f>
        <v>81.937738785148099</v>
      </c>
      <c r="P39" s="34">
        <f t="shared" si="3"/>
        <v>3.9315810616023334</v>
      </c>
      <c r="R39" s="19">
        <f>'Excess Power'!V38</f>
        <v>24.915766180388452</v>
      </c>
      <c r="S39" s="19">
        <f>'Excess Power'!X38</f>
        <v>81.764626938080099</v>
      </c>
      <c r="T39" s="34">
        <f t="shared" si="4"/>
        <v>3.2913378481409428</v>
      </c>
      <c r="V39" s="19">
        <f>'Excess Power'!Z38</f>
        <v>73.752233464494125</v>
      </c>
      <c r="W39" s="19">
        <f>'Excess Power'!AB38</f>
        <v>74.916788476827094</v>
      </c>
      <c r="X39" s="34">
        <f t="shared" si="5"/>
        <v>1.0187912962644519</v>
      </c>
    </row>
    <row r="40" spans="2:24" x14ac:dyDescent="0.3">
      <c r="B40" s="19">
        <f>'Excess Power'!F39</f>
        <v>16.093210354740339</v>
      </c>
      <c r="C40" s="19">
        <f>'Excess Power'!H39</f>
        <v>84.723017837723305</v>
      </c>
      <c r="D40" s="34">
        <f t="shared" si="0"/>
        <v>5.280073644221134</v>
      </c>
      <c r="F40" s="19">
        <f>'Excess Power'!J39</f>
        <v>10.551867224223788</v>
      </c>
      <c r="G40" s="19">
        <f>'Excess Power'!L39</f>
        <v>84.873642911984149</v>
      </c>
      <c r="H40" s="34">
        <f t="shared" si="1"/>
        <v>8.0672362662450343</v>
      </c>
      <c r="J40" s="19">
        <f>'Excess Power'!N39</f>
        <v>15.981209778280773</v>
      </c>
      <c r="K40" s="19">
        <f>'Excess Power'!P39</f>
        <v>84.726460469727783</v>
      </c>
      <c r="L40" s="34">
        <f t="shared" si="2"/>
        <v>5.3172938611866458</v>
      </c>
      <c r="N40" s="19">
        <f>'Excess Power'!R39</f>
        <v>21.209961299698151</v>
      </c>
      <c r="O40" s="19">
        <f>'Excess Power'!T39</f>
        <v>84.543839372724264</v>
      </c>
      <c r="P40" s="34">
        <f t="shared" si="3"/>
        <v>3.997820966804853</v>
      </c>
      <c r="R40" s="19">
        <f>'Excess Power'!V39</f>
        <v>25.2822738692402</v>
      </c>
      <c r="S40" s="19">
        <f>'Excess Power'!X39</f>
        <v>84.365254257782411</v>
      </c>
      <c r="T40" s="34">
        <f t="shared" si="4"/>
        <v>3.346792130877831</v>
      </c>
      <c r="V40" s="19">
        <f>'Excess Power'!Z39</f>
        <v>74.837119252834938</v>
      </c>
      <c r="W40" s="19">
        <f>'Excess Power'!AB39</f>
        <v>77.238489051886248</v>
      </c>
      <c r="X40" s="34">
        <f t="shared" si="5"/>
        <v>1.0351373015429894</v>
      </c>
    </row>
    <row r="41" spans="2:24" x14ac:dyDescent="0.3">
      <c r="B41" s="19">
        <f>'Excess Power'!F40</f>
        <v>16.268183303094194</v>
      </c>
      <c r="C41" s="19">
        <f>'Excess Power'!H40</f>
        <v>86.681222291347453</v>
      </c>
      <c r="D41" s="34">
        <f t="shared" si="0"/>
        <v>5.3440094866725163</v>
      </c>
      <c r="F41" s="19">
        <f>'Excess Power'!J40</f>
        <v>10.6665920850914</v>
      </c>
      <c r="G41" s="19">
        <f>'Excess Power'!L40</f>
        <v>86.834501330396648</v>
      </c>
      <c r="H41" s="34">
        <f t="shared" si="1"/>
        <v>8.1648437586102567</v>
      </c>
      <c r="J41" s="19">
        <f>'Excess Power'!N40</f>
        <v>16.154965003716175</v>
      </c>
      <c r="K41" s="19">
        <f>'Excess Power'!P40</f>
        <v>86.684731695639925</v>
      </c>
      <c r="L41" s="34">
        <f t="shared" si="2"/>
        <v>5.381679604731457</v>
      </c>
      <c r="N41" s="19">
        <f>'Excess Power'!R40</f>
        <v>21.440565969697147</v>
      </c>
      <c r="O41" s="19">
        <f>'Excess Power'!T40</f>
        <v>86.498271160352218</v>
      </c>
      <c r="P41" s="34">
        <f t="shared" si="3"/>
        <v>4.0462473964935404</v>
      </c>
      <c r="R41" s="19">
        <f>'Excess Power'!V40</f>
        <v>25.557154635879002</v>
      </c>
      <c r="S41" s="19">
        <f>'Excess Power'!X40</f>
        <v>86.31549705427949</v>
      </c>
      <c r="T41" s="34">
        <f t="shared" si="4"/>
        <v>3.3873301369873166</v>
      </c>
      <c r="V41" s="19">
        <f>'Excess Power'!Z40</f>
        <v>75.650783594090527</v>
      </c>
      <c r="W41" s="19">
        <f>'Excess Power'!AB40</f>
        <v>78.974420092818377</v>
      </c>
      <c r="X41" s="34">
        <f t="shared" si="5"/>
        <v>1.0470182837989308</v>
      </c>
    </row>
    <row r="42" spans="2:24" x14ac:dyDescent="0.3">
      <c r="B42" s="19">
        <f>'Excess Power'!F41</f>
        <v>16.443156251448052</v>
      </c>
      <c r="C42" s="19">
        <f>'Excess Power'!H41</f>
        <v>89.293950833908454</v>
      </c>
      <c r="D42" s="34">
        <f t="shared" si="0"/>
        <v>5.4465075014157565</v>
      </c>
      <c r="F42" s="19">
        <f>'Excess Power'!J41</f>
        <v>10.781316945959018</v>
      </c>
      <c r="G42" s="19">
        <f>'Excess Power'!L41</f>
        <v>89.449916807529007</v>
      </c>
      <c r="H42" s="34">
        <f t="shared" si="1"/>
        <v>8.321265491250422</v>
      </c>
      <c r="J42" s="19">
        <f>'Excess Power'!N41</f>
        <v>16.328720229151578</v>
      </c>
      <c r="K42" s="19">
        <f>'Excess Power'!P41</f>
        <v>89.297527962386468</v>
      </c>
      <c r="L42" s="34">
        <f t="shared" si="2"/>
        <v>5.4848977942457777</v>
      </c>
      <c r="N42" s="19">
        <f>'Excess Power'!R41</f>
        <v>21.671170639696143</v>
      </c>
      <c r="O42" s="19">
        <f>'Excess Power'!T41</f>
        <v>89.10716784648028</v>
      </c>
      <c r="P42" s="34">
        <f t="shared" si="3"/>
        <v>4.1239322282158728</v>
      </c>
      <c r="R42" s="19">
        <f>'Excess Power'!V41</f>
        <v>25.83203540251781</v>
      </c>
      <c r="S42" s="19">
        <f>'Excess Power'!X41</f>
        <v>88.920131843530996</v>
      </c>
      <c r="T42" s="34">
        <f t="shared" si="4"/>
        <v>3.4524128286923284</v>
      </c>
      <c r="V42" s="19">
        <f>'Excess Power'!Z41</f>
        <v>76.464447935346129</v>
      </c>
      <c r="W42" s="19">
        <f>'Excess Power'!AB41</f>
        <v>81.360304340031661</v>
      </c>
      <c r="X42" s="34">
        <f t="shared" si="5"/>
        <v>1.0671715975298313</v>
      </c>
    </row>
    <row r="43" spans="2:24" x14ac:dyDescent="0.3">
      <c r="B43" s="19">
        <f>'Excess Power'!F42</f>
        <v>16.61812919980191</v>
      </c>
      <c r="C43" s="19">
        <f>'Excess Power'!H42</f>
        <v>91.251882971608467</v>
      </c>
      <c r="D43" s="34">
        <f t="shared" si="0"/>
        <v>5.5073281539267311</v>
      </c>
      <c r="F43" s="19">
        <f>'Excess Power'!J42</f>
        <v>10.896041806826634</v>
      </c>
      <c r="G43" s="19">
        <f>'Excess Power'!L42</f>
        <v>91.410569204190864</v>
      </c>
      <c r="H43" s="34">
        <f t="shared" si="1"/>
        <v>8.4141239095182581</v>
      </c>
      <c r="J43" s="19">
        <f>'Excess Power'!N42</f>
        <v>16.502475454586985</v>
      </c>
      <c r="K43" s="19">
        <f>'Excess Power'!P42</f>
        <v>91.255528786407709</v>
      </c>
      <c r="L43" s="34">
        <f t="shared" si="2"/>
        <v>5.5461465551670095</v>
      </c>
      <c r="N43" s="19">
        <f>'Excess Power'!R42</f>
        <v>21.901775309695147</v>
      </c>
      <c r="O43" s="19">
        <f>'Excess Power'!T42</f>
        <v>91.061208300686019</v>
      </c>
      <c r="P43" s="34">
        <f t="shared" si="3"/>
        <v>4.1699931392925729</v>
      </c>
      <c r="R43" s="19">
        <f>'Excess Power'!V42</f>
        <v>26.106916169156619</v>
      </c>
      <c r="S43" s="19">
        <f>'Excess Power'!X42</f>
        <v>90.869836710974511</v>
      </c>
      <c r="T43" s="34">
        <f t="shared" si="4"/>
        <v>3.4909644319330737</v>
      </c>
      <c r="V43" s="19">
        <f>'Excess Power'!Z42</f>
        <v>77.278112276601746</v>
      </c>
      <c r="W43" s="19">
        <f>'Excess Power'!AB42</f>
        <v>83.086772137458553</v>
      </c>
      <c r="X43" s="34">
        <f t="shared" si="5"/>
        <v>1.0783422799477655</v>
      </c>
    </row>
    <row r="44" spans="2:24" x14ac:dyDescent="0.3">
      <c r="B44" s="19">
        <f>'Excess Power'!F43</f>
        <v>16.851426464273715</v>
      </c>
      <c r="C44" s="19">
        <f>'Excess Power'!H43</f>
        <v>93.862566116391378</v>
      </c>
      <c r="D44" s="34">
        <f t="shared" si="0"/>
        <v>5.5864640025606214</v>
      </c>
      <c r="F44" s="19">
        <f>'Excess Power'!J43</f>
        <v>11.049008287983455</v>
      </c>
      <c r="G44" s="19">
        <f>'Excess Power'!L43</f>
        <v>94.024931811765583</v>
      </c>
      <c r="H44" s="34">
        <f t="shared" si="1"/>
        <v>8.534949951048965</v>
      </c>
      <c r="J44" s="19">
        <f>'Excess Power'!N43</f>
        <v>16.73414908850085</v>
      </c>
      <c r="K44" s="19">
        <f>'Excess Power'!P43</f>
        <v>93.866305027303369</v>
      </c>
      <c r="L44" s="34">
        <f t="shared" si="2"/>
        <v>5.625839520985811</v>
      </c>
      <c r="N44" s="19">
        <f>'Excess Power'!R43</f>
        <v>22.209248203027148</v>
      </c>
      <c r="O44" s="19">
        <f>'Excess Power'!T43</f>
        <v>93.666608369486795</v>
      </c>
      <c r="P44" s="34">
        <f t="shared" si="3"/>
        <v>4.2299203360104265</v>
      </c>
      <c r="R44" s="19">
        <f>'Excess Power'!V43</f>
        <v>26.473423858008363</v>
      </c>
      <c r="S44" s="19">
        <f>'Excess Power'!X43</f>
        <v>93.469340013410928</v>
      </c>
      <c r="T44" s="34">
        <f t="shared" si="4"/>
        <v>3.5411173080556546</v>
      </c>
      <c r="V44" s="19">
        <f>'Excess Power'!Z43</f>
        <v>78.362998064942559</v>
      </c>
      <c r="W44" s="19">
        <f>'Excess Power'!AB43</f>
        <v>85.38156445350252</v>
      </c>
      <c r="X44" s="34">
        <f t="shared" si="5"/>
        <v>1.0927839705123636</v>
      </c>
    </row>
    <row r="45" spans="2:24" x14ac:dyDescent="0.3">
      <c r="B45" s="19">
        <f>'Excess Power'!F44</f>
        <v>17.026399412627573</v>
      </c>
      <c r="C45" s="19">
        <f>'Excess Power'!H44</f>
        <v>96.475048055757398</v>
      </c>
      <c r="D45" s="34">
        <f t="shared" si="0"/>
        <v>5.6829447979885748</v>
      </c>
      <c r="F45" s="19">
        <f>'Excess Power'!J44</f>
        <v>11.163733148851069</v>
      </c>
      <c r="G45" s="19">
        <f>'Excess Power'!L44</f>
        <v>96.640213146033858</v>
      </c>
      <c r="H45" s="34">
        <f t="shared" si="1"/>
        <v>8.6821979490333856</v>
      </c>
      <c r="J45" s="19">
        <f>'Excess Power'!N44</f>
        <v>16.907904313936253</v>
      </c>
      <c r="K45" s="19">
        <f>'Excess Power'!P44</f>
        <v>96.478857937788973</v>
      </c>
      <c r="L45" s="34">
        <f t="shared" si="2"/>
        <v>5.7229983865718745</v>
      </c>
      <c r="N45" s="19">
        <f>'Excess Power'!R44</f>
        <v>22.439852873026144</v>
      </c>
      <c r="O45" s="19">
        <f>'Excess Power'!T44</f>
        <v>96.275056553119853</v>
      </c>
      <c r="P45" s="34">
        <f t="shared" si="3"/>
        <v>4.3030364829135967</v>
      </c>
      <c r="R45" s="19">
        <f>'Excess Power'!V44</f>
        <v>26.748304624647169</v>
      </c>
      <c r="S45" s="19">
        <f>'Excess Power'!X44</f>
        <v>96.073277617781869</v>
      </c>
      <c r="T45" s="34">
        <f t="shared" si="4"/>
        <v>3.6023640315013723</v>
      </c>
      <c r="V45" s="19">
        <f>'Excess Power'!Z44</f>
        <v>79.176662406198147</v>
      </c>
      <c r="W45" s="19">
        <f>'Excess Power'!AB44</f>
        <v>87.751610761165139</v>
      </c>
      <c r="X45" s="34">
        <f t="shared" si="5"/>
        <v>1.1115759898080635</v>
      </c>
    </row>
    <row r="46" spans="2:24" x14ac:dyDescent="0.3">
      <c r="B46" s="19">
        <f>'Excess Power'!F45</f>
        <v>17.201372360981431</v>
      </c>
      <c r="C46" s="19">
        <f>'Excess Power'!H45</f>
        <v>98.433181944269563</v>
      </c>
      <c r="D46" s="34">
        <f t="shared" si="0"/>
        <v>5.7393099331131934</v>
      </c>
      <c r="F46" s="19">
        <f>'Excess Power'!J45</f>
        <v>11.278458009718685</v>
      </c>
      <c r="G46" s="19">
        <f>'Excess Power'!L45</f>
        <v>98.601180935863866</v>
      </c>
      <c r="H46" s="34">
        <f t="shared" si="1"/>
        <v>8.7682644667910044</v>
      </c>
      <c r="J46" s="19">
        <f>'Excess Power'!N45</f>
        <v>17.081659539371657</v>
      </c>
      <c r="K46" s="19">
        <f>'Excess Power'!P45</f>
        <v>98.43706379368362</v>
      </c>
      <c r="L46" s="34">
        <f t="shared" si="2"/>
        <v>5.7797604703170258</v>
      </c>
      <c r="N46" s="19">
        <f>'Excess Power'!R45</f>
        <v>22.670457543025147</v>
      </c>
      <c r="O46" s="19">
        <f>'Excess Power'!T45</f>
        <v>98.229094736755798</v>
      </c>
      <c r="P46" s="34">
        <f t="shared" si="3"/>
        <v>4.3457136617176531</v>
      </c>
      <c r="R46" s="19">
        <f>'Excess Power'!V45</f>
        <v>27.023185391285974</v>
      </c>
      <c r="S46" s="19">
        <f>'Excess Power'!X45</f>
        <v>98.022728918470037</v>
      </c>
      <c r="T46" s="34">
        <f t="shared" si="4"/>
        <v>3.6380737541896346</v>
      </c>
      <c r="V46" s="19">
        <f>'Excess Power'!Z45</f>
        <v>79.990326747453764</v>
      </c>
      <c r="W46" s="19">
        <f>'Excess Power'!AB45</f>
        <v>89.462525098816201</v>
      </c>
      <c r="X46" s="34">
        <f t="shared" si="5"/>
        <v>1.1217212111032566</v>
      </c>
    </row>
    <row r="47" spans="2:24" x14ac:dyDescent="0.3">
      <c r="B47" s="19">
        <f>'Excess Power'!F46</f>
        <v>17.492993941571189</v>
      </c>
      <c r="C47" s="19">
        <f>'Excess Power'!H46</f>
        <v>101.69693030426853</v>
      </c>
      <c r="D47" s="34">
        <f t="shared" si="0"/>
        <v>5.8307570932754249</v>
      </c>
      <c r="F47" s="19">
        <f>'Excess Power'!J46</f>
        <v>11.469666111164713</v>
      </c>
      <c r="G47" s="19">
        <f>'Excess Power'!L46</f>
        <v>101.86973010878093</v>
      </c>
      <c r="H47" s="34">
        <f t="shared" si="1"/>
        <v>8.9079061122254792</v>
      </c>
      <c r="J47" s="19">
        <f>'Excess Power'!N46</f>
        <v>17.371251581763996</v>
      </c>
      <c r="K47" s="19">
        <f>'Excess Power'!P46</f>
        <v>101.70093434104501</v>
      </c>
      <c r="L47" s="34">
        <f t="shared" si="2"/>
        <v>5.871851771544458</v>
      </c>
      <c r="N47" s="19">
        <f>'Excess Power'!R46</f>
        <v>23.054798659690142</v>
      </c>
      <c r="O47" s="19">
        <f>'Excess Power'!T46</f>
        <v>101.48587752809455</v>
      </c>
      <c r="P47" s="34">
        <f t="shared" si="3"/>
        <v>4.4149473464806972</v>
      </c>
      <c r="R47" s="19">
        <f>'Excess Power'!V46</f>
        <v>27.481320002350657</v>
      </c>
      <c r="S47" s="19">
        <f>'Excess Power'!X46</f>
        <v>101.2716952113869</v>
      </c>
      <c r="T47" s="34">
        <f t="shared" si="4"/>
        <v>3.6959981190663251</v>
      </c>
      <c r="V47" s="19">
        <f>'Excess Power'!Z46</f>
        <v>81.346433982879759</v>
      </c>
      <c r="W47" s="19">
        <f>'Excess Power'!AB46</f>
        <v>92.303476415432939</v>
      </c>
      <c r="X47" s="34">
        <f t="shared" si="5"/>
        <v>1.1380485498798703</v>
      </c>
    </row>
    <row r="48" spans="2:24" x14ac:dyDescent="0.3">
      <c r="B48" s="19">
        <f>'Excess Power'!F47</f>
        <v>17.784615522160955</v>
      </c>
      <c r="C48" s="19">
        <f>'Excess Power'!H47</f>
        <v>104.95964153191156</v>
      </c>
      <c r="D48" s="34">
        <f t="shared" si="0"/>
        <v>5.9191467722502313</v>
      </c>
      <c r="F48" s="19">
        <f>'Excess Power'!J47</f>
        <v>11.660874212610741</v>
      </c>
      <c r="G48" s="19">
        <f>'Excess Power'!L47</f>
        <v>105.13734062721878</v>
      </c>
      <c r="H48" s="34">
        <f t="shared" si="1"/>
        <v>9.0428875019537056</v>
      </c>
      <c r="J48" s="19">
        <f>'Excess Power'!N47</f>
        <v>17.660843624156335</v>
      </c>
      <c r="K48" s="19">
        <f>'Excess Power'!P47</f>
        <v>104.96377059928564</v>
      </c>
      <c r="L48" s="34">
        <f t="shared" si="2"/>
        <v>5.9608642186610536</v>
      </c>
      <c r="N48" s="19">
        <f>'Excess Power'!R47</f>
        <v>23.439139776355148</v>
      </c>
      <c r="O48" s="19">
        <f>'Excess Power'!T47</f>
        <v>104.7414463903863</v>
      </c>
      <c r="P48" s="34">
        <f t="shared" si="3"/>
        <v>4.4818585817169962</v>
      </c>
      <c r="R48" s="19">
        <f>'Excess Power'!V47</f>
        <v>27.939454613415336</v>
      </c>
      <c r="S48" s="19">
        <f>'Excess Power'!X47</f>
        <v>104.51922981212991</v>
      </c>
      <c r="T48" s="34">
        <f t="shared" si="4"/>
        <v>3.7519714710948566</v>
      </c>
      <c r="V48" s="19">
        <f>'Excess Power'!Z47</f>
        <v>82.702541218305782</v>
      </c>
      <c r="W48" s="19">
        <f>'Excess Power'!AB47</f>
        <v>95.129737770406152</v>
      </c>
      <c r="X48" s="34">
        <f t="shared" si="5"/>
        <v>1.153662287750949</v>
      </c>
    </row>
    <row r="49" spans="2:24" x14ac:dyDescent="0.3">
      <c r="B49" s="19">
        <f>'Excess Power'!F48</f>
        <v>18.017912786632763</v>
      </c>
      <c r="C49" s="19">
        <f>'Excess Power'!H48</f>
        <v>108.22419024246969</v>
      </c>
      <c r="D49" s="34">
        <f t="shared" si="0"/>
        <v>6.0242240495441663</v>
      </c>
      <c r="F49" s="19">
        <f>'Excess Power'!J48</f>
        <v>11.813840693767562</v>
      </c>
      <c r="G49" s="19">
        <f>'Excess Power'!L48</f>
        <v>108.4058807777074</v>
      </c>
      <c r="H49" s="34">
        <f t="shared" si="1"/>
        <v>9.2032873726970177</v>
      </c>
      <c r="J49" s="19">
        <f>'Excess Power'!N48</f>
        <v>17.892517258070207</v>
      </c>
      <c r="K49" s="19">
        <f>'Excess Power'!P48</f>
        <v>108.22842141330325</v>
      </c>
      <c r="L49" s="34">
        <f t="shared" si="2"/>
        <v>6.0666805926864873</v>
      </c>
      <c r="N49" s="19">
        <f>'Excess Power'!R48</f>
        <v>23.746612669687142</v>
      </c>
      <c r="O49" s="19">
        <f>'Excess Power'!T48</f>
        <v>108.00015193443609</v>
      </c>
      <c r="P49" s="34">
        <f t="shared" si="3"/>
        <v>4.5614608196601925</v>
      </c>
      <c r="R49" s="19">
        <f>'Excess Power'!V48</f>
        <v>28.30596230226708</v>
      </c>
      <c r="S49" s="19">
        <f>'Excess Power'!X48</f>
        <v>107.77134871794267</v>
      </c>
      <c r="T49" s="34">
        <f t="shared" si="4"/>
        <v>3.8186217770017445</v>
      </c>
      <c r="V49" s="19">
        <f>'Excess Power'!Z48</f>
        <v>83.787427006646595</v>
      </c>
      <c r="W49" s="19">
        <f>'Excess Power'!AB48</f>
        <v>98.035143596457928</v>
      </c>
      <c r="X49" s="34">
        <f t="shared" si="5"/>
        <v>1.1735029514220165</v>
      </c>
    </row>
    <row r="50" spans="2:24" x14ac:dyDescent="0.3">
      <c r="B50" s="19">
        <f>'Excess Power'!F49</f>
        <v>18.251210051104568</v>
      </c>
      <c r="C50" s="19">
        <f>'Excess Power'!H49</f>
        <v>110.83434855473141</v>
      </c>
      <c r="D50" s="34">
        <f t="shared" si="0"/>
        <v>6.090654447798312</v>
      </c>
      <c r="F50" s="19">
        <f>'Excess Power'!J49</f>
        <v>11.96680717492438</v>
      </c>
      <c r="G50" s="19">
        <f>'Excess Power'!L49</f>
        <v>111.02009544698082</v>
      </c>
      <c r="H50" s="34">
        <f t="shared" si="1"/>
        <v>9.30474668286368</v>
      </c>
      <c r="J50" s="19">
        <f>'Excess Power'!N49</f>
        <v>18.124190891984075</v>
      </c>
      <c r="K50" s="19">
        <f>'Excess Power'!P49</f>
        <v>110.83868370329853</v>
      </c>
      <c r="L50" s="34">
        <f t="shared" si="2"/>
        <v>6.1335792750664657</v>
      </c>
      <c r="N50" s="19">
        <f>'Excess Power'!R49</f>
        <v>24.054085563019139</v>
      </c>
      <c r="O50" s="19">
        <f>'Excess Power'!T49</f>
        <v>110.60435053497615</v>
      </c>
      <c r="P50" s="34">
        <f t="shared" si="3"/>
        <v>4.6117378199838219</v>
      </c>
      <c r="R50" s="19">
        <f>'Excess Power'!V49</f>
        <v>28.67246999111882</v>
      </c>
      <c r="S50" s="19">
        <f>'Excess Power'!X49</f>
        <v>110.36881712976452</v>
      </c>
      <c r="T50" s="34">
        <f t="shared" si="4"/>
        <v>3.8606686780394623</v>
      </c>
      <c r="V50" s="19">
        <f>'Excess Power'!Z49</f>
        <v>84.87231279498738</v>
      </c>
      <c r="W50" s="19">
        <f>'Excess Power'!AB49</f>
        <v>100.27715901469762</v>
      </c>
      <c r="X50" s="34">
        <f t="shared" si="5"/>
        <v>1.1849969575119101</v>
      </c>
    </row>
    <row r="51" spans="2:24" x14ac:dyDescent="0.3">
      <c r="B51" s="19">
        <f>'Excess Power'!F50</f>
        <v>18.484507315576376</v>
      </c>
      <c r="C51" s="19">
        <f>'Excess Power'!H50</f>
        <v>113.44441529821292</v>
      </c>
      <c r="D51" s="34">
        <f t="shared" si="0"/>
        <v>6.1554030106010424</v>
      </c>
      <c r="F51" s="19">
        <f>'Excess Power'!J50</f>
        <v>12.119773656081202</v>
      </c>
      <c r="G51" s="19">
        <f>'Excess Power'!L50</f>
        <v>113.63428430510641</v>
      </c>
      <c r="H51" s="34">
        <f t="shared" si="1"/>
        <v>9.4036427739799535</v>
      </c>
      <c r="J51" s="19">
        <f>'Excess Power'!N50</f>
        <v>18.355864525897942</v>
      </c>
      <c r="K51" s="19">
        <f>'Excess Power'!P50</f>
        <v>113.44885632305591</v>
      </c>
      <c r="L51" s="34">
        <f t="shared" si="2"/>
        <v>6.1987843702644891</v>
      </c>
      <c r="N51" s="19">
        <f>'Excess Power'!R50</f>
        <v>24.361558456351137</v>
      </c>
      <c r="O51" s="19">
        <f>'Excess Power'!T50</f>
        <v>113.20833951248667</v>
      </c>
      <c r="P51" s="34">
        <f t="shared" si="3"/>
        <v>4.6607370747994556</v>
      </c>
      <c r="R51" s="19">
        <f>'Excess Power'!V50</f>
        <v>29.038977679970561</v>
      </c>
      <c r="S51" s="19">
        <f>'Excess Power'!X50</f>
        <v>112.96593050937341</v>
      </c>
      <c r="T51" s="34">
        <f t="shared" si="4"/>
        <v>3.9016419494693872</v>
      </c>
      <c r="V51" s="19">
        <f>'Excess Power'!Z50</f>
        <v>85.957198583328207</v>
      </c>
      <c r="W51" s="19">
        <f>'Excess Power'!AB50</f>
        <v>102.50996632185397</v>
      </c>
      <c r="X51" s="34">
        <f t="shared" si="5"/>
        <v>1.1960933856776115</v>
      </c>
    </row>
    <row r="52" spans="2:24" x14ac:dyDescent="0.3">
      <c r="B52" s="19">
        <f>'Excess Power'!F51</f>
        <v>18.659480263930234</v>
      </c>
      <c r="C52" s="19">
        <f>'Excess Power'!H51</f>
        <v>116.05732955969287</v>
      </c>
      <c r="D52" s="34">
        <f t="shared" si="0"/>
        <v>6.2381279954628734</v>
      </c>
      <c r="F52" s="19">
        <f>'Excess Power'!J51</f>
        <v>12.234498516948817</v>
      </c>
      <c r="G52" s="19">
        <f>'Excess Power'!L51</f>
        <v>116.25033381165973</v>
      </c>
      <c r="H52" s="34">
        <f t="shared" si="1"/>
        <v>9.5299207029606876</v>
      </c>
      <c r="J52" s="19">
        <f>'Excess Power'!N51</f>
        <v>18.529619751333346</v>
      </c>
      <c r="K52" s="19">
        <f>'Excess Power'!P51</f>
        <v>116.06185125226001</v>
      </c>
      <c r="L52" s="34">
        <f t="shared" si="2"/>
        <v>6.2820912047559592</v>
      </c>
      <c r="N52" s="19">
        <f>'Excess Power'!R51</f>
        <v>24.592163126350137</v>
      </c>
      <c r="O52" s="19">
        <f>'Excess Power'!T51</f>
        <v>115.81661706860778</v>
      </c>
      <c r="P52" s="34">
        <f t="shared" si="3"/>
        <v>4.7234072875706596</v>
      </c>
      <c r="R52" s="19">
        <f>'Excess Power'!V51</f>
        <v>29.31385844660937</v>
      </c>
      <c r="S52" s="19">
        <f>'Excess Power'!X51</f>
        <v>115.5689548241661</v>
      </c>
      <c r="T52" s="34">
        <f t="shared" si="4"/>
        <v>3.9541164042066033</v>
      </c>
      <c r="V52" s="19">
        <f>'Excess Power'!Z51</f>
        <v>86.77086292458381</v>
      </c>
      <c r="W52" s="19">
        <f>'Excess Power'!AB51</f>
        <v>104.83388317344874</v>
      </c>
      <c r="X52" s="34">
        <f t="shared" si="5"/>
        <v>1.2117387807684468</v>
      </c>
    </row>
    <row r="53" spans="2:24" x14ac:dyDescent="0.3">
      <c r="B53" s="19">
        <f>'Excess Power'!F52</f>
        <v>18.834453212284089</v>
      </c>
      <c r="C53" s="19">
        <f>'Excess Power'!H52</f>
        <v>118.01409116153893</v>
      </c>
      <c r="D53" s="34">
        <f t="shared" si="0"/>
        <v>6.2843751195789821</v>
      </c>
      <c r="F53" s="19">
        <f>'Excess Power'!J52</f>
        <v>12.349223377816434</v>
      </c>
      <c r="G53" s="19">
        <f>'Excess Power'!L52</f>
        <v>118.2102684746649</v>
      </c>
      <c r="H53" s="34">
        <f t="shared" si="1"/>
        <v>9.6005653520724294</v>
      </c>
      <c r="J53" s="19">
        <f>'Excess Power'!N52</f>
        <v>18.70337497676875</v>
      </c>
      <c r="K53" s="19">
        <f>'Excess Power'!P52</f>
        <v>118.0186946136493</v>
      </c>
      <c r="L53" s="34">
        <f t="shared" si="2"/>
        <v>6.3286645516327527</v>
      </c>
      <c r="N53" s="19">
        <f>'Excess Power'!R52</f>
        <v>24.82276779634914</v>
      </c>
      <c r="O53" s="19">
        <f>'Excess Power'!T52</f>
        <v>117.7686740741224</v>
      </c>
      <c r="P53" s="34">
        <f t="shared" si="3"/>
        <v>4.7583987387646669</v>
      </c>
      <c r="R53" s="19">
        <f>'Excess Power'!V52</f>
        <v>29.588739213248179</v>
      </c>
      <c r="S53" s="19">
        <f>'Excess Power'!X52</f>
        <v>117.51567496602662</v>
      </c>
      <c r="T53" s="34">
        <f t="shared" si="4"/>
        <v>3.983369467684617</v>
      </c>
      <c r="V53" s="19">
        <f>'Excess Power'!Z52</f>
        <v>87.584527265839412</v>
      </c>
      <c r="W53" s="19">
        <f>'Excess Power'!AB52</f>
        <v>106.49640459840153</v>
      </c>
      <c r="X53" s="34">
        <f t="shared" si="5"/>
        <v>1.2195196617587121</v>
      </c>
    </row>
    <row r="54" spans="2:24" x14ac:dyDescent="0.3">
      <c r="B54" s="19">
        <f>'Excess Power'!F53</f>
        <v>18.951101844519993</v>
      </c>
      <c r="C54" s="19">
        <f>'Excess Power'!H53</f>
        <v>119.97376939690005</v>
      </c>
      <c r="D54" s="34">
        <f t="shared" si="0"/>
        <v>6.3494058730274379</v>
      </c>
      <c r="F54" s="19">
        <f>'Excess Power'!J53</f>
        <v>12.425706618394843</v>
      </c>
      <c r="G54" s="19">
        <f>'Excess Power'!L53</f>
        <v>120.17208326818346</v>
      </c>
      <c r="H54" s="34">
        <f t="shared" si="1"/>
        <v>9.6998215757114394</v>
      </c>
      <c r="J54" s="19">
        <f>'Excess Power'!N53</f>
        <v>18.819211793725685</v>
      </c>
      <c r="K54" s="19">
        <f>'Excess Power'!P53</f>
        <v>119.97842796699463</v>
      </c>
      <c r="L54" s="34">
        <f t="shared" si="2"/>
        <v>6.3941524759345629</v>
      </c>
      <c r="N54" s="19">
        <f>'Excess Power'!R53</f>
        <v>24.976504243015139</v>
      </c>
      <c r="O54" s="19">
        <f>'Excess Power'!T53</f>
        <v>119.72517788033974</v>
      </c>
      <c r="P54" s="34">
        <f t="shared" si="3"/>
        <v>4.8076748528177911</v>
      </c>
      <c r="R54" s="19">
        <f>'Excess Power'!V53</f>
        <v>29.771993057674045</v>
      </c>
      <c r="S54" s="19">
        <f>'Excess Power'!X53</f>
        <v>119.46857401906399</v>
      </c>
      <c r="T54" s="34">
        <f t="shared" si="4"/>
        <v>4.0246398391695095</v>
      </c>
      <c r="V54" s="19">
        <f>'Excess Power'!Z53</f>
        <v>88.12697016000979</v>
      </c>
      <c r="W54" s="19">
        <f>'Excess Power'!AB53</f>
        <v>108.25698578983193</v>
      </c>
      <c r="X54" s="34">
        <f t="shared" si="5"/>
        <v>1.2320500271140606</v>
      </c>
    </row>
    <row r="55" spans="2:24" x14ac:dyDescent="0.3">
      <c r="B55" s="19">
        <f>'Excess Power'!F54</f>
        <v>19.067750476755897</v>
      </c>
      <c r="C55" s="19">
        <f>'Excess Power'!H54</f>
        <v>121.27912386220324</v>
      </c>
      <c r="D55" s="34">
        <f t="shared" si="0"/>
        <v>6.3792238468098752</v>
      </c>
      <c r="F55" s="19">
        <f>'Excess Power'!J54</f>
        <v>12.502189858973255</v>
      </c>
      <c r="G55" s="19">
        <f>'Excess Power'!L54</f>
        <v>121.47959136146554</v>
      </c>
      <c r="H55" s="34">
        <f t="shared" si="1"/>
        <v>9.7453733874065982</v>
      </c>
      <c r="J55" s="19">
        <f>'Excess Power'!N54</f>
        <v>18.935048610682621</v>
      </c>
      <c r="K55" s="19">
        <f>'Excess Power'!P54</f>
        <v>121.28383804311878</v>
      </c>
      <c r="L55" s="34">
        <f t="shared" si="2"/>
        <v>6.4241808487828127</v>
      </c>
      <c r="N55" s="19">
        <f>'Excess Power'!R54</f>
        <v>25.130240689681141</v>
      </c>
      <c r="O55" s="19">
        <f>'Excess Power'!T54</f>
        <v>121.02732727115978</v>
      </c>
      <c r="P55" s="34">
        <f t="shared" si="3"/>
        <v>4.8302326073887176</v>
      </c>
      <c r="R55" s="19">
        <f>'Excess Power'!V54</f>
        <v>29.955246902099923</v>
      </c>
      <c r="S55" s="19">
        <f>'Excess Power'!X54</f>
        <v>120.76708091038155</v>
      </c>
      <c r="T55" s="34">
        <f t="shared" si="4"/>
        <v>4.0434950556809808</v>
      </c>
      <c r="V55" s="19">
        <f>'Excess Power'!Z54</f>
        <v>88.669413054180225</v>
      </c>
      <c r="W55" s="19">
        <f>'Excess Power'!AB54</f>
        <v>109.36087667603803</v>
      </c>
      <c r="X55" s="34">
        <f t="shared" si="5"/>
        <v>1.236999147497519</v>
      </c>
    </row>
    <row r="56" spans="2:24" x14ac:dyDescent="0.3">
      <c r="B56" s="19">
        <f>'Excess Power'!F55</f>
        <v>19.184399108991801</v>
      </c>
      <c r="C56" s="19">
        <f>'Excess Power'!H55</f>
        <v>122.58355441113805</v>
      </c>
      <c r="D56" s="34">
        <f t="shared" si="0"/>
        <v>6.4086309086949917</v>
      </c>
      <c r="F56" s="19">
        <f>'Excess Power'!J55</f>
        <v>12.578673099551665</v>
      </c>
      <c r="G56" s="19">
        <f>'Excess Power'!L55</f>
        <v>122.78619271326961</v>
      </c>
      <c r="H56" s="34">
        <f t="shared" si="1"/>
        <v>9.790298954920841</v>
      </c>
      <c r="J56" s="19">
        <f>'Excess Power'!N55</f>
        <v>19.050885427639557</v>
      </c>
      <c r="K56" s="19">
        <f>'Excess Power'!P55</f>
        <v>122.58832469874484</v>
      </c>
      <c r="L56" s="34">
        <f t="shared" si="2"/>
        <v>6.453795438708787</v>
      </c>
      <c r="N56" s="19">
        <f>'Excess Power'!R55</f>
        <v>25.28397713634714</v>
      </c>
      <c r="O56" s="19">
        <f>'Excess Power'!T55</f>
        <v>122.32852191164261</v>
      </c>
      <c r="P56" s="34">
        <f t="shared" si="3"/>
        <v>4.8524781694112598</v>
      </c>
      <c r="R56" s="19">
        <f>'Excess Power'!V55</f>
        <v>30.138500746525793</v>
      </c>
      <c r="S56" s="19">
        <f>'Excess Power'!X55</f>
        <v>122.06459507270159</v>
      </c>
      <c r="T56" s="34">
        <f t="shared" si="4"/>
        <v>4.062087941827933</v>
      </c>
      <c r="V56" s="19">
        <f>'Excess Power'!Z55</f>
        <v>89.211855948350617</v>
      </c>
      <c r="W56" s="19">
        <f>'Excess Power'!AB55</f>
        <v>110.46146254411106</v>
      </c>
      <c r="X56" s="34">
        <f t="shared" si="5"/>
        <v>1.241850926409535</v>
      </c>
    </row>
    <row r="57" spans="2:24" x14ac:dyDescent="0.3">
      <c r="B57" s="19">
        <f>'Excess Power'!F56</f>
        <v>19.359372057345659</v>
      </c>
      <c r="C57" s="19">
        <f>'Excess Power'!H56</f>
        <v>123.88675507129535</v>
      </c>
      <c r="D57" s="34">
        <f t="shared" si="0"/>
        <v>6.4182238841379959</v>
      </c>
      <c r="F57" s="19">
        <f>'Excess Power'!J56</f>
        <v>12.693397960419279</v>
      </c>
      <c r="G57" s="19">
        <f>'Excess Power'!L56</f>
        <v>124.0926820104884</v>
      </c>
      <c r="H57" s="34">
        <f t="shared" si="1"/>
        <v>9.8050435248430361</v>
      </c>
      <c r="J57" s="19">
        <f>'Excess Power'!N56</f>
        <v>19.224640653074957</v>
      </c>
      <c r="K57" s="19">
        <f>'Excess Power'!P56</f>
        <v>123.89161045533163</v>
      </c>
      <c r="L57" s="34">
        <f t="shared" si="2"/>
        <v>6.4634578139687573</v>
      </c>
      <c r="N57" s="19">
        <f>'Excess Power'!R56</f>
        <v>25.51458180634614</v>
      </c>
      <c r="O57" s="19">
        <f>'Excess Power'!T56</f>
        <v>123.62681048280328</v>
      </c>
      <c r="P57" s="34">
        <f t="shared" si="3"/>
        <v>4.8596552534102342</v>
      </c>
      <c r="R57" s="19">
        <f>'Excess Power'!V56</f>
        <v>30.413381513164598</v>
      </c>
      <c r="S57" s="19">
        <f>'Excess Power'!X56</f>
        <v>123.35729120839112</v>
      </c>
      <c r="T57" s="34">
        <f t="shared" si="4"/>
        <v>4.0680039435556434</v>
      </c>
      <c r="V57" s="19">
        <f>'Excess Power'!Z56</f>
        <v>90.025520289606234</v>
      </c>
      <c r="W57" s="19">
        <f>'Excess Power'!AB56</f>
        <v>111.45439975273267</v>
      </c>
      <c r="X57" s="34">
        <f t="shared" si="5"/>
        <v>1.241688984227032</v>
      </c>
    </row>
    <row r="58" spans="2:24" x14ac:dyDescent="0.3">
      <c r="B58" s="19">
        <f>'Excess Power'!F57</f>
        <v>19.417696373463613</v>
      </c>
      <c r="C58" s="19">
        <f>'Excess Power'!H57</f>
        <v>125.84844317466059</v>
      </c>
      <c r="D58" s="34">
        <f t="shared" si="0"/>
        <v>6.5002699441164191</v>
      </c>
      <c r="F58" s="19">
        <f>'Excess Power'!J57</f>
        <v>12.731639580708485</v>
      </c>
      <c r="G58" s="19">
        <f>'Excess Power'!L57</f>
        <v>126.05547502747729</v>
      </c>
      <c r="H58" s="34">
        <f t="shared" si="1"/>
        <v>9.930214475267519</v>
      </c>
      <c r="J58" s="19">
        <f>'Excess Power'!N57</f>
        <v>19.282559061553425</v>
      </c>
      <c r="K58" s="19">
        <f>'Excess Power'!P57</f>
        <v>125.85332717539484</v>
      </c>
      <c r="L58" s="34">
        <f t="shared" si="2"/>
        <v>6.5460796022045997</v>
      </c>
      <c r="N58" s="19">
        <f>'Excess Power'!R57</f>
        <v>25.591450029679137</v>
      </c>
      <c r="O58" s="19">
        <f>'Excess Power'!T57</f>
        <v>125.58684560183657</v>
      </c>
      <c r="P58" s="34">
        <f t="shared" si="3"/>
        <v>4.9218742001560365</v>
      </c>
      <c r="R58" s="19">
        <f>'Excess Power'!V57</f>
        <v>30.505008435377537</v>
      </c>
      <c r="S58" s="19">
        <f>'Excess Power'!X57</f>
        <v>125.31544294123796</v>
      </c>
      <c r="T58" s="34">
        <f t="shared" si="4"/>
        <v>4.1201658206330158</v>
      </c>
      <c r="V58" s="19">
        <f>'Excess Power'!Z57</f>
        <v>90.296741736691416</v>
      </c>
      <c r="W58" s="19">
        <f>'Excess Power'!AB57</f>
        <v>113.31146037422201</v>
      </c>
      <c r="X58" s="34">
        <f t="shared" si="5"/>
        <v>1.2585863238101676</v>
      </c>
    </row>
    <row r="59" spans="2:24" x14ac:dyDescent="0.3">
      <c r="B59" s="19">
        <f>'Excess Power'!F58</f>
        <v>19.592669321817468</v>
      </c>
      <c r="C59" s="19">
        <f>'Excess Power'!H58</f>
        <v>127.80497087865128</v>
      </c>
      <c r="D59" s="34">
        <f t="shared" si="0"/>
        <v>6.542374311992857</v>
      </c>
      <c r="F59" s="19">
        <f>'Excess Power'!J58</f>
        <v>12.846364441576101</v>
      </c>
      <c r="G59" s="19">
        <f>'Excess Power'!L58</f>
        <v>128.01534376001894</v>
      </c>
      <c r="H59" s="34">
        <f t="shared" si="1"/>
        <v>9.9945452657798626</v>
      </c>
      <c r="J59" s="19">
        <f>'Excess Power'!N58</f>
        <v>19.456314286988828</v>
      </c>
      <c r="K59" s="19">
        <f>'Excess Power'!P58</f>
        <v>127.80994148845249</v>
      </c>
      <c r="L59" s="34">
        <f t="shared" si="2"/>
        <v>6.5884812446644521</v>
      </c>
      <c r="N59" s="19">
        <f>'Excess Power'!R58</f>
        <v>25.822054699678137</v>
      </c>
      <c r="O59" s="19">
        <f>'Excess Power'!T58</f>
        <v>127.53836715873068</v>
      </c>
      <c r="P59" s="34">
        <f t="shared" si="3"/>
        <v>4.9537183058981782</v>
      </c>
      <c r="R59" s="19">
        <f>'Excess Power'!V58</f>
        <v>30.779889202016346</v>
      </c>
      <c r="S59" s="19">
        <f>'Excess Power'!X58</f>
        <v>127.26125620989333</v>
      </c>
      <c r="T59" s="34">
        <f t="shared" si="4"/>
        <v>4.1467743609553569</v>
      </c>
      <c r="V59" s="19">
        <f>'Excess Power'!Z58</f>
        <v>91.110406077947033</v>
      </c>
      <c r="W59" s="19">
        <f>'Excess Power'!AB58</f>
        <v>114.95046114694574</v>
      </c>
      <c r="X59" s="34">
        <f t="shared" si="5"/>
        <v>1.2653888010420242</v>
      </c>
    </row>
    <row r="60" spans="2:24" x14ac:dyDescent="0.3">
      <c r="B60" s="19">
        <f>'Excess Power'!F59</f>
        <v>19.825966586289276</v>
      </c>
      <c r="C60" s="19">
        <f>'Excess Power'!H59</f>
        <v>130.4153883869451</v>
      </c>
      <c r="D60" s="34">
        <f t="shared" si="0"/>
        <v>6.5974441150507266</v>
      </c>
      <c r="F60" s="19">
        <f>'Excess Power'!J59</f>
        <v>12.999330922732922</v>
      </c>
      <c r="G60" s="19">
        <f>'Excess Power'!L59</f>
        <v>130.63027780128888</v>
      </c>
      <c r="H60" s="34">
        <f t="shared" si="1"/>
        <v>10.078690332105834</v>
      </c>
      <c r="J60" s="19">
        <f>'Excess Power'!N59</f>
        <v>19.687987920902703</v>
      </c>
      <c r="K60" s="19">
        <f>'Excess Power'!P59</f>
        <v>130.42047626059593</v>
      </c>
      <c r="L60" s="34">
        <f t="shared" si="2"/>
        <v>6.6439399501578844</v>
      </c>
      <c r="N60" s="19">
        <f>'Excess Power'!R59</f>
        <v>26.129527593010138</v>
      </c>
      <c r="O60" s="19">
        <f>'Excess Power'!T59</f>
        <v>130.14199880438952</v>
      </c>
      <c r="P60" s="34">
        <f t="shared" si="3"/>
        <v>4.9953642977578889</v>
      </c>
      <c r="R60" s="19">
        <f>'Excess Power'!V59</f>
        <v>31.146396890868083</v>
      </c>
      <c r="S60" s="19">
        <f>'Excess Power'!X59</f>
        <v>129.85714008440578</v>
      </c>
      <c r="T60" s="34">
        <f t="shared" si="4"/>
        <v>4.1815690387470852</v>
      </c>
      <c r="V60" s="19">
        <f>'Excess Power'!Z59</f>
        <v>92.195291866287832</v>
      </c>
      <c r="W60" s="19">
        <f>'Excess Power'!AB59</f>
        <v>117.12893763626606</v>
      </c>
      <c r="X60" s="34">
        <f t="shared" si="5"/>
        <v>1.2741973915211497</v>
      </c>
    </row>
    <row r="61" spans="2:24" x14ac:dyDescent="0.3">
      <c r="B61" s="19">
        <f>'Excess Power'!F60</f>
        <v>20.000939534643134</v>
      </c>
      <c r="C61" s="19">
        <f>'Excess Power'!H60</f>
        <v>132.37178630528675</v>
      </c>
      <c r="D61" s="34">
        <f t="shared" si="0"/>
        <v>6.637832414565815</v>
      </c>
      <c r="F61" s="19">
        <f>'Excess Power'!J60</f>
        <v>13.11405578360054</v>
      </c>
      <c r="G61" s="19">
        <f>'Excess Power'!L60</f>
        <v>132.59010995022021</v>
      </c>
      <c r="H61" s="34">
        <f t="shared" si="1"/>
        <v>10.140406267234924</v>
      </c>
      <c r="J61" s="19">
        <f>'Excess Power'!N60</f>
        <v>19.861743146338103</v>
      </c>
      <c r="K61" s="19">
        <f>'Excess Power'!P60</f>
        <v>132.37696347891674</v>
      </c>
      <c r="L61" s="34">
        <f t="shared" si="2"/>
        <v>6.6846135435563863</v>
      </c>
      <c r="N61" s="19">
        <f>'Excess Power'!R60</f>
        <v>26.360132263009138</v>
      </c>
      <c r="O61" s="19">
        <f>'Excess Power'!T60</f>
        <v>132.09322325062118</v>
      </c>
      <c r="P61" s="34">
        <f t="shared" si="3"/>
        <v>5.0259041707793362</v>
      </c>
      <c r="R61" s="19">
        <f>'Excess Power'!V60</f>
        <v>31.421277657506892</v>
      </c>
      <c r="S61" s="19">
        <f>'Excess Power'!X60</f>
        <v>131.80245014567879</v>
      </c>
      <c r="T61" s="34">
        <f t="shared" si="4"/>
        <v>4.2070811988153691</v>
      </c>
      <c r="V61" s="19">
        <f>'Excess Power'!Z60</f>
        <v>93.008956207543449</v>
      </c>
      <c r="W61" s="19">
        <f>'Excess Power'!AB60</f>
        <v>118.75488722854627</v>
      </c>
      <c r="X61" s="34">
        <f t="shared" si="5"/>
        <v>1.2805837071758515</v>
      </c>
    </row>
    <row r="62" spans="2:24" x14ac:dyDescent="0.3">
      <c r="B62" s="19">
        <f>'Excess Power'!F61</f>
        <v>20.175912482996992</v>
      </c>
      <c r="C62" s="19">
        <f>'Excess Power'!H61</f>
        <v>134.32902777821096</v>
      </c>
      <c r="D62" s="34">
        <f t="shared" si="0"/>
        <v>6.6775621231597446</v>
      </c>
      <c r="F62" s="19">
        <f>'Excess Power'!J61</f>
        <v>13.228780644468154</v>
      </c>
      <c r="G62" s="19">
        <f>'Excess Power'!L61</f>
        <v>134.55082618847752</v>
      </c>
      <c r="H62" s="34">
        <f t="shared" si="1"/>
        <v>10.201118783901602</v>
      </c>
      <c r="J62" s="19">
        <f>'Excess Power'!N61</f>
        <v>20.035498371773507</v>
      </c>
      <c r="K62" s="19">
        <f>'Excess Power'!P61</f>
        <v>134.33429542213179</v>
      </c>
      <c r="L62" s="34">
        <f t="shared" si="2"/>
        <v>6.7246239501520657</v>
      </c>
      <c r="N62" s="19">
        <f>'Excess Power'!R61</f>
        <v>26.590736933008138</v>
      </c>
      <c r="O62" s="19">
        <f>'Excess Power'!T61</f>
        <v>134.04521847967447</v>
      </c>
      <c r="P62" s="34">
        <f t="shared" si="3"/>
        <v>5.0559434102689291</v>
      </c>
      <c r="R62" s="19">
        <f>'Excess Power'!V61</f>
        <v>31.6961584241457</v>
      </c>
      <c r="S62" s="19">
        <f>'Excess Power'!X61</f>
        <v>133.74844135570774</v>
      </c>
      <c r="T62" s="34">
        <f t="shared" si="4"/>
        <v>4.232172410615509</v>
      </c>
      <c r="V62" s="19">
        <f>'Excess Power'!Z61</f>
        <v>93.822620548799051</v>
      </c>
      <c r="W62" s="19">
        <f>'Excess Power'!AB61</f>
        <v>120.37606069766667</v>
      </c>
      <c r="X62" s="34">
        <f t="shared" si="5"/>
        <v>1.2868081975800501</v>
      </c>
    </row>
    <row r="63" spans="2:24" x14ac:dyDescent="0.3">
      <c r="B63" s="19">
        <f>'Excess Power'!F62</f>
        <v>20.409209747468797</v>
      </c>
      <c r="C63" s="19">
        <f>'Excess Power'!H62</f>
        <v>137.59349441798275</v>
      </c>
      <c r="D63" s="34">
        <f t="shared" si="0"/>
        <v>6.7616542903433858</v>
      </c>
      <c r="F63" s="19">
        <f>'Excess Power'!J62</f>
        <v>13.381747125624976</v>
      </c>
      <c r="G63" s="19">
        <f>'Excess Power'!L62</f>
        <v>137.81998951564057</v>
      </c>
      <c r="H63" s="34">
        <f t="shared" si="1"/>
        <v>10.329531984244081</v>
      </c>
      <c r="J63" s="19">
        <f>'Excess Power'!N62</f>
        <v>20.267172005687378</v>
      </c>
      <c r="K63" s="19">
        <f>'Excess Power'!P62</f>
        <v>137.59888452713844</v>
      </c>
      <c r="L63" s="34">
        <f t="shared" si="2"/>
        <v>6.8093085037834342</v>
      </c>
      <c r="N63" s="19">
        <f>'Excess Power'!R62</f>
        <v>26.898209826340135</v>
      </c>
      <c r="O63" s="19">
        <f>'Excess Power'!T62</f>
        <v>137.30257582676251</v>
      </c>
      <c r="P63" s="34">
        <f t="shared" si="3"/>
        <v>5.1196062272225165</v>
      </c>
      <c r="R63" s="19">
        <f>'Excess Power'!V62</f>
        <v>32.062666112997448</v>
      </c>
      <c r="S63" s="19">
        <f>'Excess Power'!X62</f>
        <v>136.99765255802407</v>
      </c>
      <c r="T63" s="34">
        <f t="shared" si="4"/>
        <v>4.2854333406158354</v>
      </c>
      <c r="V63" s="19">
        <f>'Excess Power'!Z62</f>
        <v>94.90750633713985</v>
      </c>
      <c r="W63" s="19">
        <f>'Excess Power'!AB62</f>
        <v>123.18360997294337</v>
      </c>
      <c r="X63" s="34">
        <f t="shared" si="5"/>
        <v>1.3017680720530738</v>
      </c>
    </row>
    <row r="64" spans="2:24" x14ac:dyDescent="0.3">
      <c r="B64" s="19">
        <f>'Excess Power'!F63</f>
        <v>20.525858379704705</v>
      </c>
      <c r="C64" s="19">
        <f>'Excess Power'!H63</f>
        <v>138.89763941261558</v>
      </c>
      <c r="D64" s="34">
        <f t="shared" si="0"/>
        <v>6.7869521568721538</v>
      </c>
      <c r="F64" s="19">
        <f>'Excess Power'!J63</f>
        <v>13.458230366203386</v>
      </c>
      <c r="G64" s="19">
        <f>'Excess Power'!L63</f>
        <v>139.12651037620856</v>
      </c>
      <c r="H64" s="34">
        <f t="shared" si="1"/>
        <v>10.368195682357857</v>
      </c>
      <c r="J64" s="19">
        <f>'Excess Power'!N63</f>
        <v>20.38300882264431</v>
      </c>
      <c r="K64" s="19">
        <f>'Excess Power'!P63</f>
        <v>138.90309154900572</v>
      </c>
      <c r="L64" s="34">
        <f t="shared" si="2"/>
        <v>6.8347852007008481</v>
      </c>
      <c r="N64" s="19">
        <f>'Excess Power'!R63</f>
        <v>27.051946273006134</v>
      </c>
      <c r="O64" s="19">
        <f>'Excess Power'!T63</f>
        <v>138.60311676455598</v>
      </c>
      <c r="P64" s="34">
        <f t="shared" si="3"/>
        <v>5.1387291905090287</v>
      </c>
      <c r="R64" s="19">
        <f>'Excess Power'!V63</f>
        <v>32.245919957423311</v>
      </c>
      <c r="S64" s="19">
        <f>'Excess Power'!X63</f>
        <v>138.29405956378346</v>
      </c>
      <c r="T64" s="34">
        <f t="shared" si="4"/>
        <v>4.3014017225124208</v>
      </c>
      <c r="V64" s="19">
        <f>'Excess Power'!Z63</f>
        <v>95.449949231310256</v>
      </c>
      <c r="W64" s="19">
        <f>'Excess Power'!AB63</f>
        <v>124.25548064215788</v>
      </c>
      <c r="X64" s="34">
        <f t="shared" si="5"/>
        <v>1.3056329533050379</v>
      </c>
    </row>
    <row r="65" spans="2:24" x14ac:dyDescent="0.3">
      <c r="B65" s="19">
        <f>'Excess Power'!F64</f>
        <v>20.700831328058559</v>
      </c>
      <c r="C65" s="19">
        <f>'Excess Power'!H64</f>
        <v>140.85470858650024</v>
      </c>
      <c r="D65" s="34">
        <f t="shared" si="0"/>
        <v>6.8244056476139114</v>
      </c>
      <c r="F65" s="19">
        <f>'Excess Power'!J64</f>
        <v>13.572955227071002</v>
      </c>
      <c r="G65" s="19">
        <f>'Excess Power'!L64</f>
        <v>141.08717804730165</v>
      </c>
      <c r="H65" s="34">
        <f t="shared" si="1"/>
        <v>10.425439718954413</v>
      </c>
      <c r="J65" s="19">
        <f>'Excess Power'!N64</f>
        <v>20.556764048079717</v>
      </c>
      <c r="K65" s="19">
        <f>'Excess Power'!P64</f>
        <v>140.86025476554525</v>
      </c>
      <c r="L65" s="34">
        <f t="shared" si="2"/>
        <v>6.8725034962001255</v>
      </c>
      <c r="N65" s="19">
        <f>'Excess Power'!R64</f>
        <v>27.282550943005134</v>
      </c>
      <c r="O65" s="19">
        <f>'Excess Power'!T64</f>
        <v>140.55471755953934</v>
      </c>
      <c r="P65" s="34">
        <f t="shared" si="3"/>
        <v>5.1670385645357895</v>
      </c>
      <c r="R65" s="19">
        <f>'Excess Power'!V64</f>
        <v>32.52080072406212</v>
      </c>
      <c r="S65" s="19">
        <f>'Excess Power'!X64</f>
        <v>140.23938273270545</v>
      </c>
      <c r="T65" s="34">
        <f t="shared" si="4"/>
        <v>4.3250388438141085</v>
      </c>
      <c r="V65" s="19">
        <f>'Excess Power'!Z64</f>
        <v>96.263613572565873</v>
      </c>
      <c r="W65" s="19">
        <f>'Excess Power'!AB64</f>
        <v>125.85932780539358</v>
      </c>
      <c r="X65" s="34">
        <f t="shared" si="5"/>
        <v>1.3113073592974671</v>
      </c>
    </row>
    <row r="66" spans="2:24" x14ac:dyDescent="0.3">
      <c r="B66" s="19">
        <f>'Excess Power'!F65</f>
        <v>20.817479960294463</v>
      </c>
      <c r="C66" s="19">
        <f>'Excess Power'!H65</f>
        <v>142.15878894367754</v>
      </c>
      <c r="D66" s="34">
        <f t="shared" si="0"/>
        <v>6.8489943941013891</v>
      </c>
      <c r="F66" s="19">
        <f>'Excess Power'!J65</f>
        <v>13.649438467649412</v>
      </c>
      <c r="G66" s="19">
        <f>'Excess Power'!L65</f>
        <v>142.39368068804714</v>
      </c>
      <c r="H66" s="34">
        <f t="shared" si="1"/>
        <v>10.46302304879171</v>
      </c>
      <c r="J66" s="19">
        <f>'Excess Power'!N65</f>
        <v>20.672600865036646</v>
      </c>
      <c r="K66" s="19">
        <f>'Excess Power'!P65</f>
        <v>142.1643984901184</v>
      </c>
      <c r="L66" s="34">
        <f t="shared" si="2"/>
        <v>6.897266125261825</v>
      </c>
      <c r="N66" s="19">
        <f>'Excess Power'!R65</f>
        <v>27.436287389671133</v>
      </c>
      <c r="O66" s="19">
        <f>'Excess Power'!T65</f>
        <v>141.85511052660289</v>
      </c>
      <c r="P66" s="34">
        <f t="shared" si="3"/>
        <v>5.185622452408591</v>
      </c>
      <c r="R66" s="19">
        <f>'Excess Power'!V65</f>
        <v>32.704054568487997</v>
      </c>
      <c r="S66" s="19">
        <f>'Excess Power'!X65</f>
        <v>141.53553912489525</v>
      </c>
      <c r="T66" s="34">
        <f t="shared" si="4"/>
        <v>4.3405539215756104</v>
      </c>
      <c r="V66" s="19">
        <f>'Excess Power'!Z65</f>
        <v>96.806056466736266</v>
      </c>
      <c r="W66" s="19">
        <f>'Excess Power'!AB65</f>
        <v>126.92469856416783</v>
      </c>
      <c r="X66" s="34">
        <f t="shared" si="5"/>
        <v>1.3149973049374435</v>
      </c>
    </row>
    <row r="67" spans="2:24" x14ac:dyDescent="0.3">
      <c r="B67" s="19">
        <f>'Excess Power'!F66</f>
        <v>20.992452908648318</v>
      </c>
      <c r="C67" s="19">
        <f>'Excess Power'!H66</f>
        <v>143.46146047554859</v>
      </c>
      <c r="D67" s="34">
        <f t="shared" si="0"/>
        <v>6.8541453687016372</v>
      </c>
      <c r="F67" s="19">
        <f>'Excess Power'!J66</f>
        <v>13.764163328517029</v>
      </c>
      <c r="G67" s="19">
        <f>'Excess Power'!L66</f>
        <v>143.70002083608662</v>
      </c>
      <c r="H67" s="34">
        <f t="shared" si="1"/>
        <v>10.471002533140833</v>
      </c>
      <c r="J67" s="19">
        <f>'Excess Power'!N66</f>
        <v>20.846356090472053</v>
      </c>
      <c r="K67" s="19">
        <f>'Excess Power'!P66</f>
        <v>143.46716608910609</v>
      </c>
      <c r="L67" s="34">
        <f t="shared" si="2"/>
        <v>6.9024555528108538</v>
      </c>
      <c r="N67" s="19">
        <f>'Excess Power'!R66</f>
        <v>27.666892059670136</v>
      </c>
      <c r="O67" s="19">
        <f>'Excess Power'!T66</f>
        <v>143.15218779546026</v>
      </c>
      <c r="P67" s="34">
        <f t="shared" si="3"/>
        <v>5.1894205222460892</v>
      </c>
      <c r="R67" s="19">
        <f>'Excess Power'!V66</f>
        <v>32.978935335126806</v>
      </c>
      <c r="S67" s="19">
        <f>'Excess Power'!X66</f>
        <v>142.82618371434836</v>
      </c>
      <c r="T67" s="34">
        <f t="shared" si="4"/>
        <v>4.3436262787311373</v>
      </c>
      <c r="V67" s="19">
        <f>'Excess Power'!Z66</f>
        <v>97.619720807991882</v>
      </c>
      <c r="W67" s="19">
        <f>'Excess Power'!AB66</f>
        <v>127.86442689498273</v>
      </c>
      <c r="X67" s="34">
        <f t="shared" si="5"/>
        <v>1.3136916095929305</v>
      </c>
    </row>
    <row r="68" spans="2:24" x14ac:dyDescent="0.3">
      <c r="B68" s="19">
        <f>'Excess Power'!F67</f>
        <v>21.167425857002176</v>
      </c>
      <c r="C68" s="19">
        <f>'Excess Power'!H67</f>
        <v>145.41837276381435</v>
      </c>
      <c r="D68" s="34">
        <f t="shared" si="0"/>
        <v>6.8902104082639131</v>
      </c>
      <c r="F68" s="19">
        <f>'Excess Power'!J67</f>
        <v>13.878888189384641</v>
      </c>
      <c r="G68" s="19">
        <f>'Excess Power'!L67</f>
        <v>145.66064428470679</v>
      </c>
      <c r="H68" s="34">
        <f t="shared" si="1"/>
        <v>10.52613172508465</v>
      </c>
      <c r="J68" s="19">
        <f>'Excess Power'!N67</f>
        <v>21.02011131590745</v>
      </c>
      <c r="K68" s="19">
        <f>'Excess Power'!P67</f>
        <v>145.42417567281635</v>
      </c>
      <c r="L68" s="34">
        <f t="shared" si="2"/>
        <v>6.9387757190254868</v>
      </c>
      <c r="N68" s="19">
        <f>'Excess Power'!R67</f>
        <v>27.897496729669133</v>
      </c>
      <c r="O68" s="19">
        <f>'Excess Power'!T67</f>
        <v>145.10342944141206</v>
      </c>
      <c r="P68" s="34">
        <f t="shared" si="3"/>
        <v>5.2166739377921658</v>
      </c>
      <c r="R68" s="19">
        <f>'Excess Power'!V67</f>
        <v>33.253816101765615</v>
      </c>
      <c r="S68" s="19">
        <f>'Excess Power'!X67</f>
        <v>144.77089860337023</v>
      </c>
      <c r="T68" s="34">
        <f t="shared" si="4"/>
        <v>4.3663749856390144</v>
      </c>
      <c r="V68" s="19">
        <f>'Excess Power'!Z67</f>
        <v>98.433385149247471</v>
      </c>
      <c r="W68" s="19">
        <f>'Excess Power'!AB67</f>
        <v>129.45249771825502</v>
      </c>
      <c r="X68" s="34">
        <f t="shared" si="5"/>
        <v>1.3190135725811789</v>
      </c>
    </row>
    <row r="69" spans="2:24" x14ac:dyDescent="0.3">
      <c r="B69" s="19">
        <f>'Excess Power'!F68</f>
        <v>21.34239880535603</v>
      </c>
      <c r="C69" s="19">
        <f>'Excess Power'!H68</f>
        <v>147.37522531467692</v>
      </c>
      <c r="D69" s="34">
        <f t="shared" si="0"/>
        <v>6.9256812912543291</v>
      </c>
      <c r="F69" s="19">
        <f>'Excess Power'!J68</f>
        <v>13.993613050252259</v>
      </c>
      <c r="G69" s="19">
        <f>'Excess Power'!L68</f>
        <v>147.62125089471732</v>
      </c>
      <c r="H69" s="34">
        <f t="shared" si="1"/>
        <v>10.580355770797421</v>
      </c>
      <c r="J69" s="19">
        <f>'Excess Power'!N68</f>
        <v>21.193866541342857</v>
      </c>
      <c r="K69" s="19">
        <f>'Excess Power'!P68</f>
        <v>147.38112675768957</v>
      </c>
      <c r="L69" s="34">
        <f t="shared" si="2"/>
        <v>6.9744975843596846</v>
      </c>
      <c r="N69" s="19">
        <f>'Excess Power'!R68</f>
        <v>28.128101399668132</v>
      </c>
      <c r="O69" s="19">
        <f>'Excess Power'!T68</f>
        <v>147.05453433403591</v>
      </c>
      <c r="P69" s="34">
        <f t="shared" si="3"/>
        <v>5.2434756098313473</v>
      </c>
      <c r="R69" s="19">
        <f>'Excess Power'!V68</f>
        <v>33.528696868404417</v>
      </c>
      <c r="S69" s="19">
        <f>'Excess Power'!X68</f>
        <v>146.71538187739847</v>
      </c>
      <c r="T69" s="34">
        <f t="shared" si="4"/>
        <v>4.3887437594003593</v>
      </c>
      <c r="V69" s="19">
        <f>'Excess Power'!Z68</f>
        <v>99.247049490503073</v>
      </c>
      <c r="W69" s="19">
        <f>'Excess Power'!AB68</f>
        <v>131.03456137791724</v>
      </c>
      <c r="X69" s="34">
        <f t="shared" si="5"/>
        <v>1.3241875664847895</v>
      </c>
    </row>
    <row r="70" spans="2:24" x14ac:dyDescent="0.3">
      <c r="B70" s="19">
        <f>'Excess Power'!F69</f>
        <v>21.517371753709888</v>
      </c>
      <c r="C70" s="19">
        <f>'Excess Power'!H69</f>
        <v>148.67681763433845</v>
      </c>
      <c r="D70" s="34">
        <f t="shared" si="0"/>
        <v>6.9300327083100495</v>
      </c>
      <c r="F70" s="19">
        <f>'Excess Power'!J69</f>
        <v>14.108337911119875</v>
      </c>
      <c r="G70" s="19">
        <f>'Excess Power'!L69</f>
        <v>148.92664052692791</v>
      </c>
      <c r="H70" s="34">
        <f t="shared" si="1"/>
        <v>10.587118907751</v>
      </c>
      <c r="J70" s="19">
        <f>'Excess Power'!N69</f>
        <v>21.36762176677826</v>
      </c>
      <c r="K70" s="19">
        <f>'Excess Power'!P69</f>
        <v>148.68281886016598</v>
      </c>
      <c r="L70" s="34">
        <f t="shared" si="2"/>
        <v>6.9788819099488597</v>
      </c>
      <c r="N70" s="19">
        <f>'Excess Power'!R69</f>
        <v>28.358706069667132</v>
      </c>
      <c r="O70" s="19">
        <f>'Excess Power'!T69</f>
        <v>148.35030134290938</v>
      </c>
      <c r="P70" s="34">
        <f t="shared" si="3"/>
        <v>5.2466642408120618</v>
      </c>
      <c r="R70" s="19">
        <f>'Excess Power'!V69</f>
        <v>33.803577635043226</v>
      </c>
      <c r="S70" s="19">
        <f>'Excess Power'!X69</f>
        <v>148.00443162187062</v>
      </c>
      <c r="T70" s="34">
        <f t="shared" si="4"/>
        <v>4.3913019812638474</v>
      </c>
      <c r="V70" s="19">
        <f>'Excess Power'!Z69</f>
        <v>100.06071383175869</v>
      </c>
      <c r="W70" s="19">
        <f>'Excess Power'!AB69</f>
        <v>131.95536821790182</v>
      </c>
      <c r="X70" s="34">
        <f t="shared" si="5"/>
        <v>1.3226493324222843</v>
      </c>
    </row>
    <row r="71" spans="2:24" x14ac:dyDescent="0.3">
      <c r="B71" s="19">
        <f>'Excess Power'!F70</f>
        <v>21.692344702063746</v>
      </c>
      <c r="C71" s="19">
        <f>'Excess Power'!H70</f>
        <v>150.63354922900106</v>
      </c>
      <c r="D71" s="34">
        <f t="shared" si="0"/>
        <v>6.9646045631390177</v>
      </c>
      <c r="F71" s="19">
        <f>'Excess Power'!J70</f>
        <v>14.223062771987491</v>
      </c>
      <c r="G71" s="19">
        <f>'Excess Power'!L70</f>
        <v>150.88721304214815</v>
      </c>
      <c r="H71" s="34">
        <f t="shared" si="1"/>
        <v>10.63997386481646</v>
      </c>
      <c r="J71" s="19">
        <f>'Excess Power'!N70</f>
        <v>21.54137699221366</v>
      </c>
      <c r="K71" s="19">
        <f>'Excess Power'!P70</f>
        <v>150.63965149668593</v>
      </c>
      <c r="L71" s="34">
        <f t="shared" si="2"/>
        <v>7.0136984858907034</v>
      </c>
      <c r="N71" s="19">
        <f>'Excess Power'!R70</f>
        <v>28.589310739666129</v>
      </c>
      <c r="O71" s="19">
        <f>'Excess Power'!T70</f>
        <v>150.30112933760998</v>
      </c>
      <c r="P71" s="34">
        <f t="shared" si="3"/>
        <v>5.2727819228938815</v>
      </c>
      <c r="R71" s="19">
        <f>'Excess Power'!V70</f>
        <v>34.078458401682035</v>
      </c>
      <c r="S71" s="19">
        <f>'Excess Power'!X70</f>
        <v>149.94844592222421</v>
      </c>
      <c r="T71" s="34">
        <f t="shared" si="4"/>
        <v>4.4130950305579812</v>
      </c>
      <c r="V71" s="19">
        <f>'Excess Power'!Z70</f>
        <v>100.87437817301428</v>
      </c>
      <c r="W71" s="19">
        <f>'Excess Power'!AB70</f>
        <v>133.52526858214117</v>
      </c>
      <c r="X71" s="34">
        <f t="shared" si="5"/>
        <v>1.3275895969123648</v>
      </c>
    </row>
    <row r="72" spans="2:24" x14ac:dyDescent="0.3">
      <c r="B72" s="19">
        <f>'Excess Power'!F71</f>
        <v>21.867317650417604</v>
      </c>
      <c r="C72" s="19">
        <f>'Excess Power'!H71</f>
        <v>151.93591960486691</v>
      </c>
      <c r="D72" s="34">
        <f t="shared" si="0"/>
        <v>6.9686105823138096</v>
      </c>
      <c r="F72" s="19">
        <f>'Excess Power'!J71</f>
        <v>14.337787632855107</v>
      </c>
      <c r="G72" s="19">
        <f>'Excess Power'!L71</f>
        <v>152.19346830118772</v>
      </c>
      <c r="H72" s="34">
        <f t="shared" si="1"/>
        <v>10.646212283922106</v>
      </c>
      <c r="J72" s="19">
        <f>'Excess Power'!N71</f>
        <v>21.715132217649067</v>
      </c>
      <c r="K72" s="19">
        <f>'Excess Power'!P71</f>
        <v>151.94212418368971</v>
      </c>
      <c r="L72" s="34">
        <f t="shared" si="2"/>
        <v>7.0177350323565673</v>
      </c>
      <c r="N72" s="19">
        <f>'Excess Power'!R71</f>
        <v>28.819915409665132</v>
      </c>
      <c r="O72" s="19">
        <f>'Excess Power'!T71</f>
        <v>151.59751718771531</v>
      </c>
      <c r="P72" s="34">
        <f t="shared" si="3"/>
        <v>5.2757066348658421</v>
      </c>
      <c r="R72" s="19">
        <f>'Excess Power'!V71</f>
        <v>34.353339168320844</v>
      </c>
      <c r="S72" s="19">
        <f>'Excess Power'!X71</f>
        <v>151.23792286389684</v>
      </c>
      <c r="T72" s="34">
        <f t="shared" si="4"/>
        <v>4.4154299364681959</v>
      </c>
      <c r="V72" s="19">
        <f>'Excess Power'!Z71</f>
        <v>101.68804251426991</v>
      </c>
      <c r="W72" s="19">
        <f>'Excess Power'!AB71</f>
        <v>134.43471281456775</v>
      </c>
      <c r="X72" s="34">
        <f t="shared" si="5"/>
        <v>1.3259366878394394</v>
      </c>
    </row>
    <row r="73" spans="2:24" x14ac:dyDescent="0.3">
      <c r="B73" s="19">
        <f>'Excess Power'!F72</f>
        <v>22.100614914889409</v>
      </c>
      <c r="C73" s="19">
        <f>'Excess Power'!H72</f>
        <v>154.54441735663755</v>
      </c>
      <c r="D73" s="34">
        <f t="shared" si="0"/>
        <v>7.013425936761525</v>
      </c>
      <c r="F73" s="19">
        <f>'Excess Power'!J72</f>
        <v>14.490754114011926</v>
      </c>
      <c r="G73" s="19">
        <f>'Excess Power'!L72</f>
        <v>154.80721489638358</v>
      </c>
      <c r="H73" s="34">
        <f t="shared" si="1"/>
        <v>10.714735660261633</v>
      </c>
      <c r="J73" s="19">
        <f>'Excess Power'!N72</f>
        <v>21.946805851562935</v>
      </c>
      <c r="K73" s="19">
        <f>'Excess Power'!P72</f>
        <v>154.55076034244297</v>
      </c>
      <c r="L73" s="34">
        <f t="shared" si="2"/>
        <v>7.0628677647809264</v>
      </c>
      <c r="N73" s="19">
        <f>'Excess Power'!R72</f>
        <v>29.127388302997126</v>
      </c>
      <c r="O73" s="19">
        <f>'Excess Power'!T72</f>
        <v>154.19791436466883</v>
      </c>
      <c r="P73" s="34">
        <f t="shared" si="3"/>
        <v>5.3095559925550191</v>
      </c>
      <c r="R73" s="19">
        <f>'Excess Power'!V72</f>
        <v>34.719846857172584</v>
      </c>
      <c r="S73" s="19">
        <f>'Excess Power'!X72</f>
        <v>153.82895291905862</v>
      </c>
      <c r="T73" s="34">
        <f t="shared" si="4"/>
        <v>4.4436672830776196</v>
      </c>
      <c r="V73" s="19">
        <f>'Excess Power'!Z72</f>
        <v>102.77292830261069</v>
      </c>
      <c r="W73" s="19">
        <f>'Excess Power'!AB72</f>
        <v>136.50974309412592</v>
      </c>
      <c r="X73" s="34">
        <f t="shared" si="5"/>
        <v>1.332189999801805</v>
      </c>
    </row>
    <row r="74" spans="2:24" x14ac:dyDescent="0.3">
      <c r="B74" s="19">
        <f>'Excess Power'!F73</f>
        <v>22.27558786324327</v>
      </c>
      <c r="C74" s="19">
        <f>'Excess Power'!H73</f>
        <v>156.50004296831932</v>
      </c>
      <c r="D74" s="34">
        <f t="shared" si="0"/>
        <v>7.0463877506869173</v>
      </c>
      <c r="F74" s="19">
        <f>'Excess Power'!J73</f>
        <v>14.605478974879544</v>
      </c>
      <c r="G74" s="19">
        <f>'Excess Power'!L73</f>
        <v>156.76682934970586</v>
      </c>
      <c r="H74" s="34">
        <f t="shared" si="1"/>
        <v>10.765138503380117</v>
      </c>
      <c r="J74" s="19">
        <f>'Excess Power'!N73</f>
        <v>22.120561076998342</v>
      </c>
      <c r="K74" s="19">
        <f>'Excess Power'!P73</f>
        <v>156.50649126673244</v>
      </c>
      <c r="L74" s="34">
        <f t="shared" si="2"/>
        <v>7.0960630818868626</v>
      </c>
      <c r="N74" s="19">
        <f>'Excess Power'!R73</f>
        <v>29.357992972996136</v>
      </c>
      <c r="O74" s="19">
        <f>'Excess Power'!T73</f>
        <v>156.14737081463133</v>
      </c>
      <c r="P74" s="34">
        <f t="shared" si="3"/>
        <v>5.334448968066777</v>
      </c>
      <c r="R74" s="19">
        <f>'Excess Power'!V73</f>
        <v>34.9947276238114</v>
      </c>
      <c r="S74" s="19">
        <f>'Excess Power'!X73</f>
        <v>155.77126857828844</v>
      </c>
      <c r="T74" s="34">
        <f t="shared" si="4"/>
        <v>4.464429714992578</v>
      </c>
      <c r="V74" s="19">
        <f>'Excess Power'!Z73</f>
        <v>103.58659264386633</v>
      </c>
      <c r="W74" s="19">
        <f>'Excess Power'!AB73</f>
        <v>138.05802991206008</v>
      </c>
      <c r="X74" s="34">
        <f t="shared" si="5"/>
        <v>1.3367167034140228</v>
      </c>
    </row>
    <row r="75" spans="2:24" x14ac:dyDescent="0.3">
      <c r="B75" s="19">
        <f>'Excess Power'!F74</f>
        <v>22.508885127715075</v>
      </c>
      <c r="C75" s="19">
        <f>'Excess Power'!H74</f>
        <v>158.45404590887452</v>
      </c>
      <c r="D75" s="34">
        <f t="shared" si="0"/>
        <v>7.0604210154455318</v>
      </c>
      <c r="F75" s="19">
        <f>'Excess Power'!J74</f>
        <v>14.758445456036364</v>
      </c>
      <c r="G75" s="19">
        <f>'Excess Power'!L74</f>
        <v>158.72622103206933</v>
      </c>
      <c r="H75" s="34">
        <f t="shared" si="1"/>
        <v>10.786717702833956</v>
      </c>
      <c r="J75" s="19">
        <f>'Excess Power'!N74</f>
        <v>22.35223471091221</v>
      </c>
      <c r="K75" s="19">
        <f>'Excess Power'!P74</f>
        <v>158.46063665339074</v>
      </c>
      <c r="L75" s="34">
        <f t="shared" si="2"/>
        <v>7.1101980568212007</v>
      </c>
      <c r="N75" s="19">
        <f>'Excess Power'!R74</f>
        <v>29.66546586632813</v>
      </c>
      <c r="O75" s="19">
        <f>'Excess Power'!T74</f>
        <v>158.09302202171301</v>
      </c>
      <c r="P75" s="34">
        <f t="shared" si="3"/>
        <v>5.3449393229080124</v>
      </c>
      <c r="R75" s="19">
        <f>'Excess Power'!V74</f>
        <v>35.361235312663133</v>
      </c>
      <c r="S75" s="19">
        <f>'Excess Power'!X74</f>
        <v>157.70724330770733</v>
      </c>
      <c r="T75" s="34">
        <f t="shared" si="4"/>
        <v>4.4730676156533473</v>
      </c>
      <c r="V75" s="19">
        <f>'Excess Power'!Z74</f>
        <v>104.67147843220712</v>
      </c>
      <c r="W75" s="19">
        <f>'Excess Power'!AB74</f>
        <v>139.45917007249437</v>
      </c>
      <c r="X75" s="34">
        <f t="shared" si="5"/>
        <v>1.3362876938832724</v>
      </c>
    </row>
    <row r="76" spans="2:24" x14ac:dyDescent="0.3">
      <c r="B76" s="19">
        <f>'Excess Power'!F75</f>
        <v>22.742182392186884</v>
      </c>
      <c r="C76" s="19">
        <f>'Excess Power'!H75</f>
        <v>161.06223591931987</v>
      </c>
      <c r="D76" s="34">
        <f t="shared" si="0"/>
        <v>7.1030167127606427</v>
      </c>
      <c r="F76" s="19">
        <f>'Excess Power'!J75</f>
        <v>14.911411937193186</v>
      </c>
      <c r="G76" s="19">
        <f>'Excess Power'!L75</f>
        <v>161.339880882014</v>
      </c>
      <c r="H76" s="34">
        <f t="shared" si="1"/>
        <v>10.851860814742539</v>
      </c>
      <c r="J76" s="19">
        <f>'Excess Power'!N75</f>
        <v>22.583908344826082</v>
      </c>
      <c r="K76" s="19">
        <f>'Excess Power'!P75</f>
        <v>161.06897145137685</v>
      </c>
      <c r="L76" s="34">
        <f t="shared" si="2"/>
        <v>7.1530956724705437</v>
      </c>
      <c r="N76" s="19">
        <f>'Excess Power'!R75</f>
        <v>29.972938759660124</v>
      </c>
      <c r="O76" s="19">
        <f>'Excess Power'!T75</f>
        <v>160.69271470452813</v>
      </c>
      <c r="P76" s="34">
        <f t="shared" si="3"/>
        <v>5.3770999876478074</v>
      </c>
      <c r="R76" s="19">
        <f>'Excess Power'!V75</f>
        <v>35.727743001514881</v>
      </c>
      <c r="S76" s="19">
        <f>'Excess Power'!X75</f>
        <v>160.29708018236059</v>
      </c>
      <c r="T76" s="34">
        <f t="shared" si="4"/>
        <v>4.4998836110406844</v>
      </c>
      <c r="V76" s="19">
        <f>'Excess Power'!Z75</f>
        <v>105.75636422054791</v>
      </c>
      <c r="W76" s="19">
        <f>'Excess Power'!AB75</f>
        <v>141.50325403714561</v>
      </c>
      <c r="X76" s="34">
        <f t="shared" si="5"/>
        <v>1.3419649292897105</v>
      </c>
    </row>
    <row r="77" spans="2:24" x14ac:dyDescent="0.3">
      <c r="B77" s="19">
        <f>'Excess Power'!F76</f>
        <v>23.033803972776646</v>
      </c>
      <c r="C77" s="19">
        <f>'Excess Power'!H76</f>
        <v>163.01348784125076</v>
      </c>
      <c r="D77" s="34">
        <f t="shared" si="0"/>
        <v>7.0980511423130324</v>
      </c>
      <c r="F77" s="19">
        <f>'Excess Power'!J76</f>
        <v>15.102620038639214</v>
      </c>
      <c r="G77" s="19">
        <f>'Excess Power'!L76</f>
        <v>163.29808542747412</v>
      </c>
      <c r="H77" s="34">
        <f t="shared" si="1"/>
        <v>10.844512847736775</v>
      </c>
      <c r="J77" s="19">
        <f>'Excess Power'!N76</f>
        <v>22.873500387218417</v>
      </c>
      <c r="K77" s="19">
        <f>'Excess Power'!P76</f>
        <v>163.02040768735151</v>
      </c>
      <c r="L77" s="34">
        <f t="shared" si="2"/>
        <v>7.1480995966514316</v>
      </c>
      <c r="N77" s="19">
        <f>'Excess Power'!R76</f>
        <v>30.357279876325126</v>
      </c>
      <c r="O77" s="19">
        <f>'Excess Power'!T76</f>
        <v>162.63313792621614</v>
      </c>
      <c r="P77" s="34">
        <f t="shared" si="3"/>
        <v>5.3731311102034116</v>
      </c>
      <c r="R77" s="19">
        <f>'Excess Power'!V76</f>
        <v>36.18587761257956</v>
      </c>
      <c r="S77" s="19">
        <f>'Excess Power'!X76</f>
        <v>162.22492862871539</v>
      </c>
      <c r="T77" s="34">
        <f t="shared" si="4"/>
        <v>4.4963460965679962</v>
      </c>
      <c r="V77" s="19">
        <f>'Excess Power'!Z76</f>
        <v>107.11247145597393</v>
      </c>
      <c r="W77" s="19">
        <f>'Excess Power'!AB76</f>
        <v>142.7333850290625</v>
      </c>
      <c r="X77" s="34">
        <f t="shared" si="5"/>
        <v>1.3364932706445163</v>
      </c>
    </row>
    <row r="78" spans="2:24" x14ac:dyDescent="0.3">
      <c r="B78" s="19">
        <f>'Excess Power'!F77</f>
        <v>23.15045260501255</v>
      </c>
      <c r="C78" s="19">
        <f>'Excess Power'!H77</f>
        <v>164.97221817892671</v>
      </c>
      <c r="D78" s="34">
        <f t="shared" ref="D78:D141" si="6">C78*735.5/($C$3*B78/3.6)</f>
        <v>7.1471447629688294</v>
      </c>
      <c r="F78" s="19">
        <f>'Excess Power'!J77</f>
        <v>15.179103279217623</v>
      </c>
      <c r="G78" s="19">
        <f>'Excess Power'!L77</f>
        <v>165.25963303028385</v>
      </c>
      <c r="H78" s="34">
        <f t="shared" ref="H78:H141" si="7">G78*735.5/($C$3*F78/3.6)</f>
        <v>10.919479041611508</v>
      </c>
      <c r="J78" s="19">
        <f>'Excess Power'!N77</f>
        <v>22.989337204175349</v>
      </c>
      <c r="K78" s="19">
        <f>'Excess Power'!P77</f>
        <v>164.97921279625871</v>
      </c>
      <c r="L78" s="34">
        <f t="shared" ref="L78:L141" si="8">K78*735.5/($C$3*J78/3.6)</f>
        <v>7.1975390116713829</v>
      </c>
      <c r="N78" s="19">
        <f>'Excess Power'!R77</f>
        <v>30.511016322991129</v>
      </c>
      <c r="O78" s="19">
        <f>'Excess Power'!T77</f>
        <v>164.58747176594488</v>
      </c>
      <c r="P78" s="34">
        <f t="shared" ref="P78:P141" si="9">O78*735.5/($C$3*N78/3.6)</f>
        <v>5.410300043271163</v>
      </c>
      <c r="R78" s="19">
        <f>'Excess Power'!V77</f>
        <v>36.369131457005423</v>
      </c>
      <c r="S78" s="19">
        <f>'Excess Power'!X77</f>
        <v>164.17415247485309</v>
      </c>
      <c r="T78" s="34">
        <f t="shared" ref="T78:T141" si="10">S78*735.5/($C$3*R78/3.6)</f>
        <v>4.5274441779138188</v>
      </c>
      <c r="V78" s="19">
        <f>'Excess Power'!Z77</f>
        <v>107.65491435014432</v>
      </c>
      <c r="W78" s="19">
        <f>'Excess Power'!AB77</f>
        <v>144.39864609981186</v>
      </c>
      <c r="X78" s="34">
        <f t="shared" ref="X78:X141" si="11">W78*735.5/($C$3*V78/3.6)</f>
        <v>1.345273268178439</v>
      </c>
    </row>
    <row r="79" spans="2:24" x14ac:dyDescent="0.3">
      <c r="B79" s="19">
        <f>'Excess Power'!F78</f>
        <v>23.325425553366408</v>
      </c>
      <c r="C79" s="19">
        <f>'Excess Power'!H78</f>
        <v>166.9283591949029</v>
      </c>
      <c r="D79" s="34">
        <f t="shared" si="6"/>
        <v>7.1776421071826517</v>
      </c>
      <c r="F79" s="19">
        <f>'Excess Power'!J78</f>
        <v>15.293828140085239</v>
      </c>
      <c r="G79" s="19">
        <f>'Excess Power'!L78</f>
        <v>167.22003907486038</v>
      </c>
      <c r="H79" s="34">
        <f t="shared" si="7"/>
        <v>10.966129391871354</v>
      </c>
      <c r="J79" s="19">
        <f>'Excess Power'!N78</f>
        <v>23.163092429610757</v>
      </c>
      <c r="K79" s="19">
        <f>'Excess Power'!P78</f>
        <v>166.93546709886184</v>
      </c>
      <c r="L79" s="34">
        <f t="shared" si="8"/>
        <v>7.2282527055993251</v>
      </c>
      <c r="N79" s="19">
        <f>'Excess Power'!R78</f>
        <v>30.741620992990132</v>
      </c>
      <c r="O79" s="19">
        <f>'Excess Power'!T78</f>
        <v>166.53694778355074</v>
      </c>
      <c r="P79" s="34">
        <f t="shared" si="9"/>
        <v>5.4333175470390884</v>
      </c>
      <c r="R79" s="19">
        <f>'Excess Power'!V78</f>
        <v>36.644012223644232</v>
      </c>
      <c r="S79" s="19">
        <f>'Excess Power'!X78</f>
        <v>166.11587697231207</v>
      </c>
      <c r="T79" s="34">
        <f t="shared" si="10"/>
        <v>4.5466275053266942</v>
      </c>
      <c r="V79" s="19">
        <f>'Excess Power'!Z78</f>
        <v>108.46857869139996</v>
      </c>
      <c r="W79" s="19">
        <f>'Excess Power'!AB78</f>
        <v>145.90915816450553</v>
      </c>
      <c r="X79" s="34">
        <f t="shared" si="11"/>
        <v>1.3491488057650725</v>
      </c>
    </row>
    <row r="80" spans="2:24" x14ac:dyDescent="0.3">
      <c r="B80" s="19">
        <f>'Excess Power'!F79</f>
        <v>23.500398501720262</v>
      </c>
      <c r="C80" s="19">
        <f>'Excess Power'!H79</f>
        <v>168.22923438330233</v>
      </c>
      <c r="D80" s="34">
        <f t="shared" si="6"/>
        <v>7.179719752016978</v>
      </c>
      <c r="F80" s="19">
        <f>'Excess Power'!J79</f>
        <v>15.408553000952855</v>
      </c>
      <c r="G80" s="19">
        <f>'Excess Power'!L79</f>
        <v>168.52522656414644</v>
      </c>
      <c r="H80" s="34">
        <f t="shared" si="7"/>
        <v>10.969436390024132</v>
      </c>
      <c r="J80" s="19">
        <f>'Excess Power'!N79</f>
        <v>23.33684765504616</v>
      </c>
      <c r="K80" s="19">
        <f>'Excess Power'!P79</f>
        <v>168.23645693872501</v>
      </c>
      <c r="L80" s="34">
        <f t="shared" si="8"/>
        <v>7.2303475470208456</v>
      </c>
      <c r="N80" s="19">
        <f>'Excess Power'!R79</f>
        <v>30.972225662989128</v>
      </c>
      <c r="O80" s="19">
        <f>'Excess Power'!T79</f>
        <v>167.83107310595204</v>
      </c>
      <c r="P80" s="34">
        <f t="shared" si="9"/>
        <v>5.4347704769978584</v>
      </c>
      <c r="R80" s="19">
        <f>'Excess Power'!V79</f>
        <v>36.918892990283041</v>
      </c>
      <c r="S80" s="19">
        <f>'Excess Power'!X79</f>
        <v>167.40214624184074</v>
      </c>
      <c r="T80" s="34">
        <f t="shared" si="10"/>
        <v>4.5477187936347585</v>
      </c>
      <c r="V80" s="19">
        <f>'Excess Power'!Z79</f>
        <v>109.28224303265554</v>
      </c>
      <c r="W80" s="19">
        <f>'Excess Power'!AB79</f>
        <v>146.75785064075606</v>
      </c>
      <c r="X80" s="34">
        <f t="shared" si="11"/>
        <v>1.3468926817076958</v>
      </c>
    </row>
    <row r="81" spans="2:24" x14ac:dyDescent="0.3">
      <c r="B81" s="19">
        <f>'Excess Power'!F80</f>
        <v>23.733695766192074</v>
      </c>
      <c r="C81" s="19">
        <f>'Excess Power'!H80</f>
        <v>170.18263138257103</v>
      </c>
      <c r="D81" s="34">
        <f t="shared" si="6"/>
        <v>7.1916925785195742</v>
      </c>
      <c r="F81" s="19">
        <f>'Excess Power'!J80</f>
        <v>15.561519482109677</v>
      </c>
      <c r="G81" s="19">
        <f>'Excess Power'!L80</f>
        <v>170.48444744550008</v>
      </c>
      <c r="H81" s="34">
        <f t="shared" si="7"/>
        <v>10.987882750868105</v>
      </c>
      <c r="J81" s="19">
        <f>'Excess Power'!N80</f>
        <v>23.568521288960035</v>
      </c>
      <c r="K81" s="19">
        <f>'Excess Power'!P80</f>
        <v>170.1900089473871</v>
      </c>
      <c r="L81" s="34">
        <f t="shared" si="8"/>
        <v>7.2424078274561756</v>
      </c>
      <c r="N81" s="19">
        <f>'Excess Power'!R80</f>
        <v>31.279698556321129</v>
      </c>
      <c r="O81" s="19">
        <f>'Excess Power'!T80</f>
        <v>169.77533716724113</v>
      </c>
      <c r="P81" s="34">
        <f t="shared" si="9"/>
        <v>5.4436888453821837</v>
      </c>
      <c r="R81" s="19">
        <f>'Excess Power'!V80</f>
        <v>37.285400679134796</v>
      </c>
      <c r="S81" s="19">
        <f>'Excess Power'!X80</f>
        <v>169.33577160420046</v>
      </c>
      <c r="T81" s="34">
        <f t="shared" si="10"/>
        <v>4.555029012562744</v>
      </c>
      <c r="V81" s="19">
        <f>'Excess Power'!Z80</f>
        <v>110.36712882099637</v>
      </c>
      <c r="W81" s="19">
        <f>'Excess Power'!AB80</f>
        <v>148.09805764620995</v>
      </c>
      <c r="X81" s="34">
        <f t="shared" si="11"/>
        <v>1.3458320577512204</v>
      </c>
    </row>
    <row r="82" spans="2:24" x14ac:dyDescent="0.3">
      <c r="B82" s="19">
        <f>'Excess Power'!F81</f>
        <v>24.025317346781833</v>
      </c>
      <c r="C82" s="19">
        <f>'Excess Power'!H81</f>
        <v>173.44276004506139</v>
      </c>
      <c r="D82" s="34">
        <f t="shared" si="6"/>
        <v>7.2404956010571686</v>
      </c>
      <c r="F82" s="19">
        <f>'Excess Power'!J81</f>
        <v>15.752727583555702</v>
      </c>
      <c r="G82" s="19">
        <f>'Excess Power'!L81</f>
        <v>173.75197630835831</v>
      </c>
      <c r="H82" s="34">
        <f t="shared" si="7"/>
        <v>11.062549866100289</v>
      </c>
      <c r="J82" s="19">
        <f>'Excess Power'!N81</f>
        <v>23.858113331352364</v>
      </c>
      <c r="K82" s="19">
        <f>'Excess Power'!P81</f>
        <v>173.45033484627766</v>
      </c>
      <c r="L82" s="34">
        <f t="shared" si="8"/>
        <v>7.2915573552951303</v>
      </c>
      <c r="N82" s="19">
        <f>'Excess Power'!R81</f>
        <v>31.664039672986124</v>
      </c>
      <c r="O82" s="19">
        <f>'Excess Power'!T81</f>
        <v>173.02383359770388</v>
      </c>
      <c r="P82" s="34">
        <f t="shared" si="9"/>
        <v>5.480508557056849</v>
      </c>
      <c r="R82" s="19">
        <f>'Excess Power'!V81</f>
        <v>37.743535290199461</v>
      </c>
      <c r="S82" s="19">
        <f>'Excess Power'!X81</f>
        <v>172.57070353722054</v>
      </c>
      <c r="T82" s="34">
        <f t="shared" si="10"/>
        <v>4.5857011060086501</v>
      </c>
      <c r="V82" s="19">
        <f>'Excess Power'!Z81</f>
        <v>111.72323605642235</v>
      </c>
      <c r="W82" s="19">
        <f>'Excess Power'!AB81</f>
        <v>150.57501397817327</v>
      </c>
      <c r="X82" s="34">
        <f t="shared" si="11"/>
        <v>1.3517321913681657</v>
      </c>
    </row>
    <row r="83" spans="2:24" x14ac:dyDescent="0.3">
      <c r="B83" s="19">
        <f>'Excess Power'!F82</f>
        <v>24.258614611253641</v>
      </c>
      <c r="C83" s="19">
        <f>'Excess Power'!H82</f>
        <v>176.0501874792501</v>
      </c>
      <c r="D83" s="34">
        <f t="shared" si="6"/>
        <v>7.2786652737591755</v>
      </c>
      <c r="F83" s="19">
        <f>'Excess Power'!J82</f>
        <v>15.905694064712524</v>
      </c>
      <c r="G83" s="19">
        <f>'Excess Power'!L82</f>
        <v>176.36542120547239</v>
      </c>
      <c r="H83" s="34">
        <f t="shared" si="7"/>
        <v>11.120954554976914</v>
      </c>
      <c r="J83" s="19">
        <f>'Excess Power'!N82</f>
        <v>24.089786965266239</v>
      </c>
      <c r="K83" s="19">
        <f>'Excess Power'!P82</f>
        <v>176.05792287889025</v>
      </c>
      <c r="L83" s="34">
        <f t="shared" si="8"/>
        <v>7.3299981552044109</v>
      </c>
      <c r="N83" s="19">
        <f>'Excess Power'!R82</f>
        <v>31.971512566318133</v>
      </c>
      <c r="O83" s="19">
        <f>'Excess Power'!T82</f>
        <v>175.62178055949036</v>
      </c>
      <c r="P83" s="34">
        <f t="shared" si="9"/>
        <v>5.5093002787276664</v>
      </c>
      <c r="R83" s="19">
        <f>'Excess Power'!V82</f>
        <v>38.110042979051215</v>
      </c>
      <c r="S83" s="19">
        <f>'Excess Power'!X82</f>
        <v>175.15758373673478</v>
      </c>
      <c r="T83" s="34">
        <f t="shared" si="10"/>
        <v>4.6096797864059225</v>
      </c>
      <c r="V83" s="19">
        <f>'Excess Power'!Z82</f>
        <v>112.80812184476318</v>
      </c>
      <c r="W83" s="19">
        <f>'Excess Power'!AB82</f>
        <v>152.54241365299887</v>
      </c>
      <c r="X83" s="34">
        <f t="shared" si="11"/>
        <v>1.3562242207916437</v>
      </c>
    </row>
    <row r="84" spans="2:24" x14ac:dyDescent="0.3">
      <c r="B84" s="19">
        <f>'Excess Power'!F83</f>
        <v>24.60856050796135</v>
      </c>
      <c r="C84" s="19">
        <f>'Excess Power'!H83</f>
        <v>178.65205006087251</v>
      </c>
      <c r="D84" s="34">
        <f t="shared" si="6"/>
        <v>7.281201417911336</v>
      </c>
      <c r="F84" s="19">
        <f>'Excess Power'!J83</f>
        <v>16.135143786447752</v>
      </c>
      <c r="G84" s="19">
        <f>'Excess Power'!L83</f>
        <v>178.97647412257638</v>
      </c>
      <c r="H84" s="34">
        <f t="shared" si="7"/>
        <v>11.125111162717747</v>
      </c>
      <c r="J84" s="19">
        <f>'Excess Power'!N83</f>
        <v>24.437297416137046</v>
      </c>
      <c r="K84" s="19">
        <f>'Excess Power'!P83</f>
        <v>178.66003109720006</v>
      </c>
      <c r="L84" s="34">
        <f t="shared" si="8"/>
        <v>7.3325575749494067</v>
      </c>
      <c r="N84" s="19">
        <f>'Excess Power'!R83</f>
        <v>32.432721906316125</v>
      </c>
      <c r="O84" s="19">
        <f>'Excess Power'!T83</f>
        <v>178.20912775107266</v>
      </c>
      <c r="P84" s="34">
        <f t="shared" si="9"/>
        <v>5.5109668326857317</v>
      </c>
      <c r="R84" s="19">
        <f>'Excess Power'!V83</f>
        <v>38.659804512328826</v>
      </c>
      <c r="S84" s="19">
        <f>'Excess Power'!X83</f>
        <v>177.7279678213786</v>
      </c>
      <c r="T84" s="34">
        <f t="shared" si="10"/>
        <v>4.6108115503792826</v>
      </c>
      <c r="V84" s="19">
        <f>'Excess Power'!Z83</f>
        <v>114.43545052727436</v>
      </c>
      <c r="W84" s="19">
        <f>'Excess Power'!AB83</f>
        <v>154.16147831362045</v>
      </c>
      <c r="X84" s="34">
        <f t="shared" si="11"/>
        <v>1.3511281224150624</v>
      </c>
    </row>
    <row r="85" spans="2:24" x14ac:dyDescent="0.3">
      <c r="B85" s="19">
        <f>'Excess Power'!F84</f>
        <v>24.841857772433162</v>
      </c>
      <c r="C85" s="19">
        <f>'Excess Power'!H84</f>
        <v>181.25917102855809</v>
      </c>
      <c r="D85" s="34">
        <f t="shared" si="6"/>
        <v>7.3180802802176723</v>
      </c>
      <c r="F85" s="19">
        <f>'Excess Power'!J84</f>
        <v>16.288110267604576</v>
      </c>
      <c r="G85" s="19">
        <f>'Excess Power'!L84</f>
        <v>181.58983263378249</v>
      </c>
      <c r="H85" s="34">
        <f t="shared" si="7"/>
        <v>11.181551761140359</v>
      </c>
      <c r="J85" s="19">
        <f>'Excess Power'!N84</f>
        <v>24.668971050050917</v>
      </c>
      <c r="K85" s="19">
        <f>'Excess Power'!P84</f>
        <v>181.26731901743614</v>
      </c>
      <c r="L85" s="34">
        <f t="shared" si="8"/>
        <v>7.3696986056709299</v>
      </c>
      <c r="N85" s="19">
        <f>'Excess Power'!R84</f>
        <v>32.74019479964813</v>
      </c>
      <c r="O85" s="19">
        <f>'Excess Power'!T84</f>
        <v>180.80637313709616</v>
      </c>
      <c r="P85" s="34">
        <f t="shared" si="9"/>
        <v>5.5387750407322001</v>
      </c>
      <c r="R85" s="19">
        <f>'Excess Power'!V84</f>
        <v>39.026312201180566</v>
      </c>
      <c r="S85" s="19">
        <f>'Excess Power'!X84</f>
        <v>180.31365978314892</v>
      </c>
      <c r="T85" s="34">
        <f t="shared" si="10"/>
        <v>4.6339608968121517</v>
      </c>
      <c r="V85" s="19">
        <f>'Excess Power'!Z84</f>
        <v>115.52033631561518</v>
      </c>
      <c r="W85" s="19">
        <f>'Excess Power'!AB84</f>
        <v>156.09805986901966</v>
      </c>
      <c r="X85" s="34">
        <f t="shared" si="11"/>
        <v>1.3552527950968796</v>
      </c>
    </row>
    <row r="86" spans="2:24" x14ac:dyDescent="0.3">
      <c r="B86" s="19">
        <f>'Excess Power'!F85</f>
        <v>25.075155036904967</v>
      </c>
      <c r="C86" s="19">
        <f>'Excess Power'!H85</f>
        <v>183.21186736129576</v>
      </c>
      <c r="D86" s="34">
        <f t="shared" si="6"/>
        <v>7.3280972692206161</v>
      </c>
      <c r="F86" s="19">
        <f>'Excess Power'!J85</f>
        <v>16.441076748761393</v>
      </c>
      <c r="G86" s="19">
        <f>'Excess Power'!L85</f>
        <v>183.5488560132433</v>
      </c>
      <c r="H86" s="34">
        <f t="shared" si="7"/>
        <v>11.197025734055586</v>
      </c>
      <c r="J86" s="19">
        <f>'Excess Power'!N85</f>
        <v>24.900644683964785</v>
      </c>
      <c r="K86" s="19">
        <f>'Excess Power'!P85</f>
        <v>183.22018488684435</v>
      </c>
      <c r="L86" s="34">
        <f t="shared" si="8"/>
        <v>7.3797895429438141</v>
      </c>
      <c r="N86" s="19">
        <f>'Excess Power'!R85</f>
        <v>33.04766769298012</v>
      </c>
      <c r="O86" s="19">
        <f>'Excess Power'!T85</f>
        <v>182.74903320365476</v>
      </c>
      <c r="P86" s="34">
        <f t="shared" si="9"/>
        <v>5.5461999688396419</v>
      </c>
      <c r="R86" s="19">
        <f>'Excess Power'!V85</f>
        <v>39.392819890032307</v>
      </c>
      <c r="S86" s="19">
        <f>'Excess Power'!X85</f>
        <v>182.24456850793311</v>
      </c>
      <c r="T86" s="34">
        <f t="shared" si="10"/>
        <v>4.6400084807252915</v>
      </c>
      <c r="V86" s="19">
        <f>'Excess Power'!Z85</f>
        <v>116.60522210395598</v>
      </c>
      <c r="W86" s="19">
        <f>'Excess Power'!AB85</f>
        <v>157.36780819592371</v>
      </c>
      <c r="X86" s="34">
        <f t="shared" si="11"/>
        <v>1.3535650950315894</v>
      </c>
    </row>
    <row r="87" spans="2:24" x14ac:dyDescent="0.3">
      <c r="B87" s="19">
        <f>'Excess Power'!F86</f>
        <v>25.250127985258828</v>
      </c>
      <c r="C87" s="19">
        <f>'Excess Power'!H86</f>
        <v>185.16635711504526</v>
      </c>
      <c r="D87" s="34">
        <f t="shared" si="6"/>
        <v>7.3549504241014079</v>
      </c>
      <c r="F87" s="19">
        <f>'Excess Power'!J86</f>
        <v>16.555801609629015</v>
      </c>
      <c r="G87" s="19">
        <f>'Excess Power'!L86</f>
        <v>185.50815029415588</v>
      </c>
      <c r="H87" s="34">
        <f t="shared" si="7"/>
        <v>11.23812950550075</v>
      </c>
      <c r="J87" s="19">
        <f>'Excess Power'!N86</f>
        <v>25.074399909400189</v>
      </c>
      <c r="K87" s="19">
        <f>'Excess Power'!P86</f>
        <v>185.17480350352437</v>
      </c>
      <c r="L87" s="34">
        <f t="shared" si="8"/>
        <v>7.4068337247778526</v>
      </c>
      <c r="N87" s="19">
        <f>'Excess Power'!R86</f>
        <v>33.278272362979123</v>
      </c>
      <c r="O87" s="19">
        <f>'Excess Power'!T86</f>
        <v>184.6958894007762</v>
      </c>
      <c r="P87" s="34">
        <f t="shared" si="9"/>
        <v>5.566442265414989</v>
      </c>
      <c r="R87" s="19">
        <f>'Excess Power'!V86</f>
        <v>39.667700656671116</v>
      </c>
      <c r="S87" s="19">
        <f>'Excess Power'!X86</f>
        <v>184.18248019722481</v>
      </c>
      <c r="T87" s="34">
        <f t="shared" si="10"/>
        <v>4.6568531235457939</v>
      </c>
      <c r="V87" s="19">
        <f>'Excess Power'!Z86</f>
        <v>117.41888644521161</v>
      </c>
      <c r="W87" s="19">
        <f>'Excess Power'!AB86</f>
        <v>158.80187370402766</v>
      </c>
      <c r="X87" s="34">
        <f t="shared" si="11"/>
        <v>1.3564347770617808</v>
      </c>
    </row>
    <row r="88" spans="2:24" x14ac:dyDescent="0.3">
      <c r="B88" s="19">
        <f>'Excess Power'!F87</f>
        <v>25.425100933612683</v>
      </c>
      <c r="C88" s="19">
        <f>'Excess Power'!H87</f>
        <v>187.12167560944152</v>
      </c>
      <c r="D88" s="34">
        <f t="shared" si="6"/>
        <v>7.3814666693200603</v>
      </c>
      <c r="F88" s="19">
        <f>'Excess Power'!J87</f>
        <v>16.670526470496629</v>
      </c>
      <c r="G88" s="19">
        <f>'Excess Power'!L87</f>
        <v>187.46832448868426</v>
      </c>
      <c r="H88" s="34">
        <f t="shared" si="7"/>
        <v>11.278720471572017</v>
      </c>
      <c r="J88" s="19">
        <f>'Excess Power'!N87</f>
        <v>25.248155134835592</v>
      </c>
      <c r="K88" s="19">
        <f>'Excess Power'!P87</f>
        <v>187.13025233830777</v>
      </c>
      <c r="L88" s="34">
        <f t="shared" si="8"/>
        <v>7.4335386554960659</v>
      </c>
      <c r="N88" s="19">
        <f>'Excess Power'!R87</f>
        <v>33.50887703297812</v>
      </c>
      <c r="O88" s="19">
        <f>'Excess Power'!T87</f>
        <v>186.64348246804627</v>
      </c>
      <c r="P88" s="34">
        <f t="shared" si="9"/>
        <v>5.586428006422385</v>
      </c>
      <c r="R88" s="19">
        <f>'Excess Power'!V87</f>
        <v>39.942581423309925</v>
      </c>
      <c r="S88" s="19">
        <f>'Excess Power'!X87</f>
        <v>186.12101559839945</v>
      </c>
      <c r="T88" s="34">
        <f t="shared" si="10"/>
        <v>4.6734815814906892</v>
      </c>
      <c r="V88" s="19">
        <f>'Excess Power'!Z87</f>
        <v>118.2325507864672</v>
      </c>
      <c r="W88" s="19">
        <f>'Excess Power'!AB87</f>
        <v>160.22967340694547</v>
      </c>
      <c r="X88" s="34">
        <f t="shared" si="11"/>
        <v>1.3592118091948262</v>
      </c>
    </row>
    <row r="89" spans="2:24" x14ac:dyDescent="0.3">
      <c r="B89" s="19">
        <f>'Excess Power'!F88</f>
        <v>25.658398198084488</v>
      </c>
      <c r="C89" s="19">
        <f>'Excess Power'!H88</f>
        <v>189.07405523394266</v>
      </c>
      <c r="D89" s="34">
        <f t="shared" si="6"/>
        <v>7.3906672451035353</v>
      </c>
      <c r="F89" s="19">
        <f>'Excess Power'!J88</f>
        <v>16.823492951653449</v>
      </c>
      <c r="G89" s="19">
        <f>'Excess Power'!L88</f>
        <v>189.42725859532632</v>
      </c>
      <c r="H89" s="34">
        <f t="shared" si="7"/>
        <v>11.292953882237866</v>
      </c>
      <c r="J89" s="19">
        <f>'Excess Power'!N88</f>
        <v>25.479828768749456</v>
      </c>
      <c r="K89" s="19">
        <f>'Excess Power'!P88</f>
        <v>189.08280806595315</v>
      </c>
      <c r="L89" s="34">
        <f t="shared" si="8"/>
        <v>7.4428075454592095</v>
      </c>
      <c r="N89" s="19">
        <f>'Excess Power'!R88</f>
        <v>33.816349926310117</v>
      </c>
      <c r="O89" s="19">
        <f>'Excess Power'!T88</f>
        <v>188.58541751304327</v>
      </c>
      <c r="P89" s="34">
        <f t="shared" si="9"/>
        <v>5.5932293731675475</v>
      </c>
      <c r="R89" s="19">
        <f>'Excess Power'!V88</f>
        <v>40.309089112161672</v>
      </c>
      <c r="S89" s="19">
        <f>'Excess Power'!X88</f>
        <v>188.05069637599661</v>
      </c>
      <c r="T89" s="34">
        <f t="shared" si="10"/>
        <v>4.6790018048136428</v>
      </c>
      <c r="V89" s="19">
        <f>'Excess Power'!Z88</f>
        <v>119.31743657480801</v>
      </c>
      <c r="W89" s="19">
        <f>'Excess Power'!AB88</f>
        <v>161.46757371079994</v>
      </c>
      <c r="X89" s="34">
        <f t="shared" si="11"/>
        <v>1.3572587682541257</v>
      </c>
    </row>
    <row r="90" spans="2:24" x14ac:dyDescent="0.3">
      <c r="B90" s="19">
        <f>'Excess Power'!F89</f>
        <v>26.008344094792204</v>
      </c>
      <c r="C90" s="19">
        <f>'Excess Power'!H89</f>
        <v>191.67478293309082</v>
      </c>
      <c r="D90" s="34">
        <f t="shared" si="6"/>
        <v>7.3915161261746878</v>
      </c>
      <c r="F90" s="19">
        <f>'Excess Power'!J89</f>
        <v>17.052942673388678</v>
      </c>
      <c r="G90" s="19">
        <f>'Excess Power'!L89</f>
        <v>192.03799161497997</v>
      </c>
      <c r="H90" s="34">
        <f t="shared" si="7"/>
        <v>11.294553689596873</v>
      </c>
      <c r="J90" s="19">
        <f>'Excess Power'!N89</f>
        <v>25.827339219620264</v>
      </c>
      <c r="K90" s="19">
        <f>'Excess Power'!P89</f>
        <v>191.68380493188687</v>
      </c>
      <c r="L90" s="34">
        <f t="shared" si="8"/>
        <v>7.4436681925179355</v>
      </c>
      <c r="N90" s="19">
        <f>'Excess Power'!R89</f>
        <v>34.277559266308117</v>
      </c>
      <c r="O90" s="19">
        <f>'Excess Power'!T89</f>
        <v>191.17016668484322</v>
      </c>
      <c r="P90" s="34">
        <f t="shared" si="9"/>
        <v>5.5936009370517104</v>
      </c>
      <c r="R90" s="19">
        <f>'Excess Power'!V89</f>
        <v>40.858850645439283</v>
      </c>
      <c r="S90" s="19">
        <f>'Excess Power'!X89</f>
        <v>190.61668027276662</v>
      </c>
      <c r="T90" s="34">
        <f t="shared" si="10"/>
        <v>4.679031908607219</v>
      </c>
      <c r="V90" s="19">
        <f>'Excess Power'!Z89</f>
        <v>120.9447652573192</v>
      </c>
      <c r="W90" s="19">
        <f>'Excess Power'!AB89</f>
        <v>162.97251515316356</v>
      </c>
      <c r="X90" s="34">
        <f t="shared" si="11"/>
        <v>1.3514766390200046</v>
      </c>
    </row>
    <row r="91" spans="2:24" x14ac:dyDescent="0.3">
      <c r="B91" s="19">
        <f>'Excess Power'!F90</f>
        <v>26.41661430761787</v>
      </c>
      <c r="C91" s="19">
        <f>'Excess Power'!H90</f>
        <v>194.27224389793349</v>
      </c>
      <c r="D91" s="34">
        <f t="shared" si="6"/>
        <v>7.3758971457935036</v>
      </c>
      <c r="F91" s="19">
        <f>'Excess Power'!J90</f>
        <v>17.320634015413116</v>
      </c>
      <c r="G91" s="19">
        <f>'Excess Power'!L90</f>
        <v>194.64739212925798</v>
      </c>
      <c r="H91" s="34">
        <f t="shared" si="7"/>
        <v>11.271093571008425</v>
      </c>
      <c r="J91" s="19">
        <f>'Excess Power'!N90</f>
        <v>26.232768078969542</v>
      </c>
      <c r="K91" s="19">
        <f>'Excess Power'!P90</f>
        <v>194.28158762405252</v>
      </c>
      <c r="L91" s="34">
        <f t="shared" si="8"/>
        <v>7.4279466360197874</v>
      </c>
      <c r="N91" s="19">
        <f>'Excess Power'!R90</f>
        <v>34.815636829639118</v>
      </c>
      <c r="O91" s="19">
        <f>'Excess Power'!T90</f>
        <v>193.74850727363508</v>
      </c>
      <c r="P91" s="34">
        <f t="shared" si="9"/>
        <v>5.5814273050923138</v>
      </c>
      <c r="R91" s="19">
        <f>'Excess Power'!V90</f>
        <v>41.500239100929839</v>
      </c>
      <c r="S91" s="19">
        <f>'Excess Power'!X90</f>
        <v>193.17253834384312</v>
      </c>
      <c r="T91" s="34">
        <f t="shared" si="10"/>
        <v>4.6684857626424856</v>
      </c>
      <c r="V91" s="19">
        <f>'Excess Power'!Z90</f>
        <v>122.84331538691563</v>
      </c>
      <c r="W91" s="19">
        <f>'Excess Power'!AB90</f>
        <v>164.25458731411044</v>
      </c>
      <c r="X91" s="34">
        <f t="shared" si="11"/>
        <v>1.3410569752173465</v>
      </c>
    </row>
    <row r="92" spans="2:24" x14ac:dyDescent="0.3">
      <c r="B92" s="19">
        <f>'Excess Power'!F91</f>
        <v>26.766560204325582</v>
      </c>
      <c r="C92" s="19">
        <f>'Excess Power'!H91</f>
        <v>197.52753047832252</v>
      </c>
      <c r="D92" s="34">
        <f t="shared" si="6"/>
        <v>7.4014416881863401</v>
      </c>
      <c r="F92" s="19">
        <f>'Excess Power'!J91</f>
        <v>17.550083737148348</v>
      </c>
      <c r="G92" s="19">
        <f>'Excess Power'!L91</f>
        <v>197.91314443217567</v>
      </c>
      <c r="H92" s="34">
        <f t="shared" si="7"/>
        <v>11.310366992340391</v>
      </c>
      <c r="J92" s="19">
        <f>'Excess Power'!N91</f>
        <v>26.580278529840346</v>
      </c>
      <c r="K92" s="19">
        <f>'Excess Power'!P91</f>
        <v>197.53715666386989</v>
      </c>
      <c r="L92" s="34">
        <f t="shared" si="8"/>
        <v>7.4536761888997782</v>
      </c>
      <c r="N92" s="19">
        <f>'Excess Power'!R91</f>
        <v>35.276846169637118</v>
      </c>
      <c r="O92" s="19">
        <f>'Excess Power'!T91</f>
        <v>196.98698876992077</v>
      </c>
      <c r="P92" s="34">
        <f t="shared" si="9"/>
        <v>5.6005288803919138</v>
      </c>
      <c r="R92" s="19">
        <f>'Excess Power'!V91</f>
        <v>42.05000063420745</v>
      </c>
      <c r="S92" s="19">
        <f>'Excess Power'!X91</f>
        <v>196.39123648278925</v>
      </c>
      <c r="T92" s="34">
        <f t="shared" si="10"/>
        <v>4.68422069790926</v>
      </c>
      <c r="V92" s="19">
        <f>'Excess Power'!Z91</f>
        <v>124.47064406942685</v>
      </c>
      <c r="W92" s="19">
        <f>'Excess Power'!AB91</f>
        <v>166.35025817230772</v>
      </c>
      <c r="X92" s="34">
        <f t="shared" si="11"/>
        <v>1.3404104141888484</v>
      </c>
    </row>
    <row r="93" spans="2:24" x14ac:dyDescent="0.3">
      <c r="B93" s="19">
        <f>'Excess Power'!F92</f>
        <v>27.174830417151245</v>
      </c>
      <c r="C93" s="19">
        <f>'Excess Power'!H92</f>
        <v>200.12423265344864</v>
      </c>
      <c r="D93" s="34">
        <f t="shared" si="6"/>
        <v>7.3860813743551024</v>
      </c>
      <c r="F93" s="19">
        <f>'Excess Power'!J92</f>
        <v>17.817775079172787</v>
      </c>
      <c r="G93" s="19">
        <f>'Excess Power'!L92</f>
        <v>200.52233106096227</v>
      </c>
      <c r="H93" s="34">
        <f t="shared" si="7"/>
        <v>11.287311828165155</v>
      </c>
      <c r="J93" s="19">
        <f>'Excess Power'!N92</f>
        <v>26.985707389189624</v>
      </c>
      <c r="K93" s="19">
        <f>'Excess Power'!P92</f>
        <v>200.13419629869387</v>
      </c>
      <c r="L93" s="34">
        <f t="shared" si="8"/>
        <v>7.4382153109344538</v>
      </c>
      <c r="N93" s="19">
        <f>'Excess Power'!R92</f>
        <v>35.814923732968118</v>
      </c>
      <c r="O93" s="19">
        <f>'Excess Power'!T92</f>
        <v>199.5635923059879</v>
      </c>
      <c r="P93" s="34">
        <f t="shared" si="9"/>
        <v>5.5885421815455265</v>
      </c>
      <c r="R93" s="19">
        <f>'Excess Power'!V92</f>
        <v>42.691389089697999</v>
      </c>
      <c r="S93" s="19">
        <f>'Excess Power'!X92</f>
        <v>198.94415255997203</v>
      </c>
      <c r="T93" s="34">
        <f t="shared" si="10"/>
        <v>4.6738217321154396</v>
      </c>
      <c r="V93" s="19">
        <f>'Excess Power'!Z92</f>
        <v>126.36919419902326</v>
      </c>
      <c r="W93" s="19">
        <f>'Excess Power'!AB92</f>
        <v>167.55602681602531</v>
      </c>
      <c r="X93" s="34">
        <f t="shared" si="11"/>
        <v>1.3298421326384875</v>
      </c>
    </row>
    <row r="94" spans="2:24" x14ac:dyDescent="0.3">
      <c r="B94" s="19">
        <f>'Excess Power'!F93</f>
        <v>27.524776313858958</v>
      </c>
      <c r="C94" s="19">
        <f>'Excess Power'!H93</f>
        <v>202.72365957022564</v>
      </c>
      <c r="D94" s="34">
        <f t="shared" si="6"/>
        <v>7.3868943935708948</v>
      </c>
      <c r="F94" s="19">
        <f>'Excess Power'!J93</f>
        <v>18.047224800908015</v>
      </c>
      <c r="G94" s="19">
        <f>'Excess Power'!L93</f>
        <v>203.13269741977351</v>
      </c>
      <c r="H94" s="34">
        <f t="shared" si="7"/>
        <v>11.28887485223513</v>
      </c>
      <c r="J94" s="19">
        <f>'Excess Power'!N93</f>
        <v>27.333217840060424</v>
      </c>
      <c r="K94" s="19">
        <f>'Excess Power'!P93</f>
        <v>202.73391935204191</v>
      </c>
      <c r="L94" s="34">
        <f t="shared" si="8"/>
        <v>7.4390401862577091</v>
      </c>
      <c r="N94" s="19">
        <f>'Excess Power'!R93</f>
        <v>36.276133072966111</v>
      </c>
      <c r="O94" s="19">
        <f>'Excess Power'!T93</f>
        <v>202.14536367311692</v>
      </c>
      <c r="P94" s="34">
        <f t="shared" si="9"/>
        <v>5.5888705372955991</v>
      </c>
      <c r="R94" s="19">
        <f>'Excess Power'!V93</f>
        <v>43.24115062297561</v>
      </c>
      <c r="S94" s="19">
        <f>'Excess Power'!X93</f>
        <v>201.50509303863851</v>
      </c>
      <c r="T94" s="34">
        <f t="shared" si="10"/>
        <v>4.6737990567707097</v>
      </c>
      <c r="V94" s="19">
        <f>'Excess Power'!Z93</f>
        <v>127.99652288153445</v>
      </c>
      <c r="W94" s="19">
        <f>'Excess Power'!AB93</f>
        <v>168.93016222885296</v>
      </c>
      <c r="X94" s="34">
        <f t="shared" si="11"/>
        <v>1.3237021620393152</v>
      </c>
    </row>
    <row r="95" spans="2:24" x14ac:dyDescent="0.3">
      <c r="B95" s="19">
        <f>'Excess Power'!F94</f>
        <v>27.933046526684628</v>
      </c>
      <c r="C95" s="19">
        <f>'Excess Power'!H94</f>
        <v>205.97388131997357</v>
      </c>
      <c r="D95" s="34">
        <f t="shared" si="6"/>
        <v>7.3956286979808308</v>
      </c>
      <c r="F95" s="19">
        <f>'Excess Power'!J94</f>
        <v>18.314916142932454</v>
      </c>
      <c r="G95" s="19">
        <f>'Excess Power'!L94</f>
        <v>206.39596406446984</v>
      </c>
      <c r="H95" s="34">
        <f t="shared" si="7"/>
        <v>11.302578112093325</v>
      </c>
      <c r="J95" s="19">
        <f>'Excess Power'!N94</f>
        <v>27.738646699409699</v>
      </c>
      <c r="K95" s="19">
        <f>'Excess Power'!P94</f>
        <v>205.9844947424458</v>
      </c>
      <c r="L95" s="34">
        <f t="shared" si="8"/>
        <v>7.4478429872171956</v>
      </c>
      <c r="N95" s="19">
        <f>'Excess Power'!R94</f>
        <v>36.814210636297112</v>
      </c>
      <c r="O95" s="19">
        <f>'Excess Power'!T94</f>
        <v>205.37448062720992</v>
      </c>
      <c r="P95" s="34">
        <f t="shared" si="9"/>
        <v>5.5951564709726149</v>
      </c>
      <c r="R95" s="19">
        <f>'Excess Power'!V94</f>
        <v>43.882539078466166</v>
      </c>
      <c r="S95" s="19">
        <f>'Excess Power'!X94</f>
        <v>204.70928323572926</v>
      </c>
      <c r="T95" s="34">
        <f t="shared" si="10"/>
        <v>4.6787198377672601</v>
      </c>
      <c r="V95" s="19">
        <f>'Excess Power'!Z94</f>
        <v>129.89507301113088</v>
      </c>
      <c r="W95" s="19">
        <f>'Excess Power'!AB94</f>
        <v>170.71175168393739</v>
      </c>
      <c r="X95" s="34">
        <f t="shared" si="11"/>
        <v>1.3181110210334221</v>
      </c>
    </row>
    <row r="96" spans="2:24" x14ac:dyDescent="0.3">
      <c r="B96" s="19">
        <f>'Excess Power'!F95</f>
        <v>28.34131673951029</v>
      </c>
      <c r="C96" s="19">
        <f>'Excess Power'!H95</f>
        <v>209.22457387915497</v>
      </c>
      <c r="D96" s="34">
        <f t="shared" si="6"/>
        <v>7.4041280199359818</v>
      </c>
      <c r="F96" s="19">
        <f>'Excess Power'!J95</f>
        <v>18.582607484956895</v>
      </c>
      <c r="G96" s="19">
        <f>'Excess Power'!L95</f>
        <v>209.66000973014758</v>
      </c>
      <c r="H96" s="34">
        <f t="shared" si="7"/>
        <v>11.315928613846172</v>
      </c>
      <c r="J96" s="19">
        <f>'Excess Power'!N95</f>
        <v>28.144075558758974</v>
      </c>
      <c r="K96" s="19">
        <f>'Excess Power'!P95</f>
        <v>209.23554984091044</v>
      </c>
      <c r="L96" s="34">
        <f t="shared" si="8"/>
        <v>7.456409266152348</v>
      </c>
      <c r="N96" s="19">
        <f>'Excess Power'!R95</f>
        <v>37.35228819962812</v>
      </c>
      <c r="O96" s="19">
        <f>'Excess Power'!T95</f>
        <v>208.60351506055076</v>
      </c>
      <c r="P96" s="34">
        <f t="shared" si="9"/>
        <v>5.6012590851089579</v>
      </c>
      <c r="R96" s="19">
        <f>'Excess Power'!V95</f>
        <v>44.523927533956716</v>
      </c>
      <c r="S96" s="19">
        <f>'Excess Power'!X95</f>
        <v>207.91270936700772</v>
      </c>
      <c r="T96" s="34">
        <f t="shared" si="10"/>
        <v>4.6834816348664345</v>
      </c>
      <c r="V96" s="19">
        <f>'Excess Power'!Z95</f>
        <v>131.79362314072728</v>
      </c>
      <c r="W96" s="19">
        <f>'Excess Power'!AB95</f>
        <v>172.45108194870289</v>
      </c>
      <c r="X96" s="34">
        <f t="shared" si="11"/>
        <v>1.3123593720791871</v>
      </c>
    </row>
    <row r="97" spans="2:24" x14ac:dyDescent="0.3">
      <c r="B97" s="19">
        <f>'Excess Power'!F96</f>
        <v>28.866235584571861</v>
      </c>
      <c r="C97" s="19">
        <f>'Excess Power'!H96</f>
        <v>212.46726642674511</v>
      </c>
      <c r="D97" s="34">
        <f t="shared" si="6"/>
        <v>7.3821544897561511</v>
      </c>
      <c r="F97" s="19">
        <f>'Excess Power'!J96</f>
        <v>18.926782067559738</v>
      </c>
      <c r="G97" s="19">
        <f>'Excess Power'!L96</f>
        <v>212.92033068954694</v>
      </c>
      <c r="H97" s="34">
        <f t="shared" si="7"/>
        <v>11.282922407121019</v>
      </c>
      <c r="J97" s="19">
        <f>'Excess Power'!N96</f>
        <v>28.665341235065178</v>
      </c>
      <c r="K97" s="19">
        <f>'Excess Power'!P96</f>
        <v>212.47872179528372</v>
      </c>
      <c r="L97" s="34">
        <f t="shared" si="8"/>
        <v>7.4342914005247165</v>
      </c>
      <c r="N97" s="19">
        <f>'Excess Power'!R96</f>
        <v>38.044102209625116</v>
      </c>
      <c r="O97" s="19">
        <f>'Excess Power'!T96</f>
        <v>211.81753537431089</v>
      </c>
      <c r="P97" s="34">
        <f t="shared" si="9"/>
        <v>5.5841338754708776</v>
      </c>
      <c r="R97" s="19">
        <f>'Excess Power'!V96</f>
        <v>45.348569833873142</v>
      </c>
      <c r="S97" s="19">
        <f>'Excess Power'!X96</f>
        <v>211.09278723570083</v>
      </c>
      <c r="T97" s="34">
        <f t="shared" si="10"/>
        <v>4.6686471314597808</v>
      </c>
      <c r="V97" s="19">
        <f>'Excess Power'!Z96</f>
        <v>134.23461616449413</v>
      </c>
      <c r="W97" s="19">
        <f>'Excess Power'!AB96</f>
        <v>173.68680236976951</v>
      </c>
      <c r="X97" s="34">
        <f t="shared" si="11"/>
        <v>1.2977276122930697</v>
      </c>
    </row>
    <row r="98" spans="2:24" x14ac:dyDescent="0.3">
      <c r="B98" s="19">
        <f>'Excess Power'!F97</f>
        <v>29.332830113515477</v>
      </c>
      <c r="C98" s="19">
        <f>'Excess Power'!H97</f>
        <v>215.71264470730389</v>
      </c>
      <c r="D98" s="34">
        <f t="shared" si="6"/>
        <v>7.3756939471560168</v>
      </c>
      <c r="F98" s="19">
        <f>'Excess Power'!J97</f>
        <v>19.232715029873379</v>
      </c>
      <c r="G98" s="19">
        <f>'Excess Power'!L97</f>
        <v>216.18182038331437</v>
      </c>
      <c r="H98" s="34">
        <f t="shared" si="7"/>
        <v>11.273527375687983</v>
      </c>
      <c r="J98" s="19">
        <f>'Excess Power'!N97</f>
        <v>29.128688502892921</v>
      </c>
      <c r="K98" s="19">
        <f>'Excess Power'!P97</f>
        <v>215.7245389682858</v>
      </c>
      <c r="L98" s="34">
        <f t="shared" si="8"/>
        <v>7.4277943170301146</v>
      </c>
      <c r="N98" s="19">
        <f>'Excess Power'!R97</f>
        <v>38.659047996289111</v>
      </c>
      <c r="O98" s="19">
        <f>'Excess Power'!T97</f>
        <v>215.03663421884823</v>
      </c>
      <c r="P98" s="34">
        <f t="shared" si="9"/>
        <v>5.5788225760174601</v>
      </c>
      <c r="R98" s="19">
        <f>'Excess Power'!V97</f>
        <v>46.081585211576623</v>
      </c>
      <c r="S98" s="19">
        <f>'Excess Power'!X97</f>
        <v>214.28073826067447</v>
      </c>
      <c r="T98" s="34">
        <f t="shared" si="10"/>
        <v>4.6637683893719117</v>
      </c>
      <c r="V98" s="19">
        <f>'Excess Power'!Z97</f>
        <v>136.4043877411757</v>
      </c>
      <c r="W98" s="19">
        <f>'Excess Power'!AB97</f>
        <v>175.08696686622835</v>
      </c>
      <c r="X98" s="34">
        <f t="shared" si="11"/>
        <v>1.2873799162644117</v>
      </c>
    </row>
    <row r="99" spans="2:24" x14ac:dyDescent="0.3">
      <c r="B99" s="19">
        <f>'Excess Power'!F98</f>
        <v>29.741100326341147</v>
      </c>
      <c r="C99" s="19">
        <f>'Excess Power'!H98</f>
        <v>218.9618181319114</v>
      </c>
      <c r="D99" s="34">
        <f t="shared" si="6"/>
        <v>7.3840156674327426</v>
      </c>
      <c r="F99" s="19">
        <f>'Excess Power'!J98</f>
        <v>19.500406371897821</v>
      </c>
      <c r="G99" s="19">
        <f>'Excess Power'!L98</f>
        <v>219.44543783965062</v>
      </c>
      <c r="H99" s="34">
        <f t="shared" si="7"/>
        <v>11.286626297066267</v>
      </c>
      <c r="J99" s="19">
        <f>'Excess Power'!N98</f>
        <v>29.534117362242196</v>
      </c>
      <c r="K99" s="19">
        <f>'Excess Power'!P98</f>
        <v>218.97410642916981</v>
      </c>
      <c r="L99" s="34">
        <f t="shared" si="8"/>
        <v>7.4361821173216169</v>
      </c>
      <c r="N99" s="19">
        <f>'Excess Power'!R98</f>
        <v>39.197125559620105</v>
      </c>
      <c r="O99" s="19">
        <f>'Excess Power'!T98</f>
        <v>218.26219098664697</v>
      </c>
      <c r="P99" s="34">
        <f t="shared" si="9"/>
        <v>5.5847732053198893</v>
      </c>
      <c r="R99" s="19">
        <f>'Excess Power'!V98</f>
        <v>46.72297366706718</v>
      </c>
      <c r="S99" s="19">
        <f>'Excess Power'!X98</f>
        <v>217.47827437454373</v>
      </c>
      <c r="T99" s="34">
        <f t="shared" si="10"/>
        <v>4.6683848801195307</v>
      </c>
      <c r="V99" s="19">
        <f>'Excess Power'!Z98</f>
        <v>138.30293787077213</v>
      </c>
      <c r="W99" s="19">
        <f>'Excess Power'!AB98</f>
        <v>176.67353371233852</v>
      </c>
      <c r="X99" s="34">
        <f t="shared" si="11"/>
        <v>1.2812130127262751</v>
      </c>
    </row>
    <row r="100" spans="2:24" x14ac:dyDescent="0.3">
      <c r="B100" s="19">
        <f>'Excess Power'!F99</f>
        <v>30.091046223048853</v>
      </c>
      <c r="C100" s="19">
        <f>'Excess Power'!H99</f>
        <v>221.55887473607513</v>
      </c>
      <c r="D100" s="34">
        <f t="shared" si="6"/>
        <v>7.3847043687079186</v>
      </c>
      <c r="F100" s="19">
        <f>'Excess Power'!J99</f>
        <v>19.72985609363305</v>
      </c>
      <c r="G100" s="19">
        <f>'Excess Power'!L99</f>
        <v>222.05513606147082</v>
      </c>
      <c r="H100" s="34">
        <f t="shared" si="7"/>
        <v>11.288030029081158</v>
      </c>
      <c r="J100" s="19">
        <f>'Excess Power'!N99</f>
        <v>29.881627813113003</v>
      </c>
      <c r="K100" s="19">
        <f>'Excess Power'!P99</f>
        <v>221.57150831480706</v>
      </c>
      <c r="L100" s="34">
        <f t="shared" si="8"/>
        <v>7.4368823812883278</v>
      </c>
      <c r="N100" s="19">
        <f>'Excess Power'!R99</f>
        <v>39.658334899618112</v>
      </c>
      <c r="O100" s="19">
        <f>'Excess Power'!T99</f>
        <v>220.83853613634884</v>
      </c>
      <c r="P100" s="34">
        <f t="shared" si="9"/>
        <v>5.5849801609197618</v>
      </c>
      <c r="R100" s="19">
        <f>'Excess Power'!V99</f>
        <v>47.27273520034479</v>
      </c>
      <c r="S100" s="19">
        <f>'Excess Power'!X99</f>
        <v>220.03002463214818</v>
      </c>
      <c r="T100" s="34">
        <f t="shared" si="10"/>
        <v>4.6682323839742415</v>
      </c>
      <c r="V100" s="19">
        <f>'Excess Power'!Z99</f>
        <v>139.93026655328333</v>
      </c>
      <c r="W100" s="19">
        <f>'Excess Power'!AB99</f>
        <v>177.80931166540029</v>
      </c>
      <c r="X100" s="34">
        <f t="shared" si="11"/>
        <v>1.2744537815273154</v>
      </c>
    </row>
    <row r="101" spans="2:24" x14ac:dyDescent="0.3">
      <c r="B101" s="19">
        <f>'Excess Power'!F100</f>
        <v>30.324343487520661</v>
      </c>
      <c r="C101" s="19">
        <f>'Excess Power'!H100</f>
        <v>223.50845733582628</v>
      </c>
      <c r="D101" s="34">
        <f t="shared" si="6"/>
        <v>7.3923718521639961</v>
      </c>
      <c r="F101" s="19">
        <f>'Excess Power'!J100</f>
        <v>19.882822574789866</v>
      </c>
      <c r="G101" s="19">
        <f>'Excess Power'!L100</f>
        <v>224.01328175071598</v>
      </c>
      <c r="H101" s="34">
        <f t="shared" si="7"/>
        <v>11.299961981199989</v>
      </c>
      <c r="J101" s="19">
        <f>'Excess Power'!N100</f>
        <v>30.113301447026871</v>
      </c>
      <c r="K101" s="19">
        <f>'Excess Power'!P100</f>
        <v>223.52132500984561</v>
      </c>
      <c r="L101" s="34">
        <f t="shared" si="8"/>
        <v>7.4446081350134135</v>
      </c>
      <c r="N101" s="19">
        <f>'Excess Power'!R100</f>
        <v>39.965807792950102</v>
      </c>
      <c r="O101" s="19">
        <f>'Excess Power'!T100</f>
        <v>222.77406811689019</v>
      </c>
      <c r="P101" s="34">
        <f t="shared" si="9"/>
        <v>5.5905854670763988</v>
      </c>
      <c r="R101" s="19">
        <f>'Excess Power'!V100</f>
        <v>47.639242889196531</v>
      </c>
      <c r="S101" s="19">
        <f>'Excess Power'!X100</f>
        <v>221.94886073228588</v>
      </c>
      <c r="T101" s="34">
        <f t="shared" si="10"/>
        <v>4.6727152916274735</v>
      </c>
      <c r="V101" s="19">
        <f>'Excess Power'!Z100</f>
        <v>141.01515234162414</v>
      </c>
      <c r="W101" s="19">
        <f>'Excess Power'!AB100</f>
        <v>178.76594454883434</v>
      </c>
      <c r="X101" s="34">
        <f t="shared" si="11"/>
        <v>1.2714528451763087</v>
      </c>
    </row>
    <row r="102" spans="2:24" x14ac:dyDescent="0.3">
      <c r="B102" s="19">
        <f>'Excess Power'!F101</f>
        <v>30.674289384228373</v>
      </c>
      <c r="C102" s="19">
        <f>'Excess Power'!H101</f>
        <v>226.10494560470639</v>
      </c>
      <c r="D102" s="34">
        <f t="shared" si="6"/>
        <v>7.3929335445531663</v>
      </c>
      <c r="F102" s="19">
        <f>'Excess Power'!J101</f>
        <v>20.112272296525102</v>
      </c>
      <c r="G102" s="19">
        <f>'Excess Power'!L101</f>
        <v>226.62281977179973</v>
      </c>
      <c r="H102" s="34">
        <f t="shared" si="7"/>
        <v>11.30117889429745</v>
      </c>
      <c r="J102" s="19">
        <f>'Excess Power'!N101</f>
        <v>30.460811897897678</v>
      </c>
      <c r="K102" s="19">
        <f>'Excess Power'!P101</f>
        <v>226.11817034378504</v>
      </c>
      <c r="L102" s="34">
        <f t="shared" si="8"/>
        <v>7.4451806313086681</v>
      </c>
      <c r="N102" s="19">
        <f>'Excess Power'!R101</f>
        <v>40.427017132948109</v>
      </c>
      <c r="O102" s="19">
        <f>'Excess Power'!T101</f>
        <v>225.34911221001281</v>
      </c>
      <c r="P102" s="34">
        <f t="shared" si="9"/>
        <v>5.5906899008132882</v>
      </c>
      <c r="R102" s="19">
        <f>'Excess Power'!V101</f>
        <v>48.189004422474149</v>
      </c>
      <c r="S102" s="19">
        <f>'Excess Power'!X101</f>
        <v>224.49840742953938</v>
      </c>
      <c r="T102" s="34">
        <f t="shared" si="10"/>
        <v>4.6724704292449184</v>
      </c>
      <c r="V102" s="19">
        <f>'Excess Power'!Z101</f>
        <v>142.64248102413538</v>
      </c>
      <c r="W102" s="19">
        <f>'Excess Power'!AB101</f>
        <v>179.84457098789665</v>
      </c>
      <c r="X102" s="34">
        <f t="shared" si="11"/>
        <v>1.2645316363861736</v>
      </c>
    </row>
    <row r="103" spans="2:24" x14ac:dyDescent="0.3">
      <c r="B103" s="19">
        <f>'Excess Power'!F102</f>
        <v>31.08255959705404</v>
      </c>
      <c r="C103" s="19">
        <f>'Excess Power'!H102</f>
        <v>228.69739399630285</v>
      </c>
      <c r="D103" s="34">
        <f t="shared" si="6"/>
        <v>7.3794788400869233</v>
      </c>
      <c r="F103" s="19">
        <f>'Excess Power'!J102</f>
        <v>20.37996363854954</v>
      </c>
      <c r="G103" s="19">
        <f>'Excess Power'!L102</f>
        <v>229.23080735615977</v>
      </c>
      <c r="H103" s="34">
        <f t="shared" si="7"/>
        <v>11.281083925056427</v>
      </c>
      <c r="J103" s="19">
        <f>'Excess Power'!N102</f>
        <v>30.866240757246949</v>
      </c>
      <c r="K103" s="19">
        <f>'Excess Power'!P102</f>
        <v>228.71104439094657</v>
      </c>
      <c r="L103" s="34">
        <f t="shared" si="8"/>
        <v>7.4316397442633004</v>
      </c>
      <c r="N103" s="19">
        <f>'Excess Power'!R102</f>
        <v>40.96509469627911</v>
      </c>
      <c r="O103" s="19">
        <f>'Excess Power'!T102</f>
        <v>227.91597780932378</v>
      </c>
      <c r="P103" s="34">
        <f t="shared" si="9"/>
        <v>5.5801010011174599</v>
      </c>
      <c r="R103" s="19">
        <f>'Excess Power'!V102</f>
        <v>48.830392877964698</v>
      </c>
      <c r="S103" s="19">
        <f>'Excess Power'!X102</f>
        <v>227.03483065646699</v>
      </c>
      <c r="T103" s="34">
        <f t="shared" si="10"/>
        <v>4.663194415668146</v>
      </c>
      <c r="V103" s="19">
        <f>'Excess Power'!Z102</f>
        <v>144.54103115373178</v>
      </c>
      <c r="W103" s="19">
        <f>'Excess Power'!AB102</f>
        <v>180.62258127144156</v>
      </c>
      <c r="X103" s="34">
        <f t="shared" si="11"/>
        <v>1.2533205101134928</v>
      </c>
    </row>
    <row r="104" spans="2:24" x14ac:dyDescent="0.3">
      <c r="B104" s="19">
        <f>'Excess Power'!F103</f>
        <v>31.60747844211561</v>
      </c>
      <c r="C104" s="19">
        <f>'Excess Power'!H103</f>
        <v>231.93611072480931</v>
      </c>
      <c r="D104" s="34">
        <f t="shared" si="6"/>
        <v>7.3596942233942411</v>
      </c>
      <c r="F104" s="19">
        <f>'Excess Power'!J103</f>
        <v>20.724138221152387</v>
      </c>
      <c r="G104" s="19">
        <f>'Excess Power'!L103</f>
        <v>232.4900076229616</v>
      </c>
      <c r="H104" s="34">
        <f t="shared" si="7"/>
        <v>11.251464713751808</v>
      </c>
      <c r="J104" s="19">
        <f>'Excess Power'!N103</f>
        <v>31.387506433553167</v>
      </c>
      <c r="K104" s="19">
        <f>'Excess Power'!P103</f>
        <v>231.95032295892454</v>
      </c>
      <c r="L104" s="34">
        <f t="shared" si="8"/>
        <v>7.4117270584647743</v>
      </c>
      <c r="N104" s="19">
        <f>'Excess Power'!R103</f>
        <v>41.656908706276106</v>
      </c>
      <c r="O104" s="19">
        <f>'Excess Power'!T103</f>
        <v>231.12089651400564</v>
      </c>
      <c r="P104" s="34">
        <f t="shared" si="9"/>
        <v>5.5645932669345584</v>
      </c>
      <c r="R104" s="19">
        <f>'Excess Power'!V103</f>
        <v>49.655035177881125</v>
      </c>
      <c r="S104" s="19">
        <f>'Excess Power'!X103</f>
        <v>230.19949340393185</v>
      </c>
      <c r="T104" s="34">
        <f t="shared" si="10"/>
        <v>4.6496720311186603</v>
      </c>
      <c r="V104" s="19">
        <f>'Excess Power'!Z103</f>
        <v>146.9820241774986</v>
      </c>
      <c r="W104" s="19">
        <f>'Excess Power'!AB103</f>
        <v>181.45849529904473</v>
      </c>
      <c r="X104" s="34">
        <f t="shared" si="11"/>
        <v>1.2382100715373101</v>
      </c>
    </row>
    <row r="105" spans="2:24" x14ac:dyDescent="0.3">
      <c r="B105" s="19">
        <f>'Excess Power'!F104</f>
        <v>31.899100022705365</v>
      </c>
      <c r="C105" s="19">
        <f>'Excess Power'!H104</f>
        <v>235.18945175816407</v>
      </c>
      <c r="D105" s="34">
        <f t="shared" si="6"/>
        <v>7.3947017162212667</v>
      </c>
      <c r="F105" s="19">
        <f>'Excess Power'!J104</f>
        <v>20.915346322598413</v>
      </c>
      <c r="G105" s="19">
        <f>'Excess Power'!L104</f>
        <v>235.75497689763171</v>
      </c>
      <c r="H105" s="34">
        <f t="shared" si="7"/>
        <v>11.30516903932555</v>
      </c>
      <c r="J105" s="19">
        <f>'Excess Power'!N104</f>
        <v>31.677098475945492</v>
      </c>
      <c r="K105" s="19">
        <f>'Excess Power'!P104</f>
        <v>235.20398329990249</v>
      </c>
      <c r="L105" s="34">
        <f t="shared" si="8"/>
        <v>7.4469858512699885</v>
      </c>
      <c r="N105" s="19">
        <f>'Excess Power'!R104</f>
        <v>42.041249822941104</v>
      </c>
      <c r="O105" s="19">
        <f>'Excess Power'!T104</f>
        <v>234.35501474094301</v>
      </c>
      <c r="P105" s="34">
        <f t="shared" si="9"/>
        <v>5.590876300643064</v>
      </c>
      <c r="R105" s="19">
        <f>'Excess Power'!V104</f>
        <v>50.113169788945797</v>
      </c>
      <c r="S105" s="19">
        <f>'Excess Power'!X104</f>
        <v>233.41069770949667</v>
      </c>
      <c r="T105" s="34">
        <f t="shared" si="10"/>
        <v>4.6714331025433466</v>
      </c>
      <c r="V105" s="19">
        <f>'Excess Power'!Z104</f>
        <v>148.33813141292458</v>
      </c>
      <c r="W105" s="19">
        <f>'Excess Power'!AB104</f>
        <v>183.34249456774737</v>
      </c>
      <c r="X105" s="34">
        <f t="shared" si="11"/>
        <v>1.2396285874049771</v>
      </c>
    </row>
    <row r="106" spans="2:24" x14ac:dyDescent="0.3">
      <c r="B106" s="19">
        <f>'Excess Power'!F105</f>
        <v>32.365694551648986</v>
      </c>
      <c r="C106" s="19">
        <f>'Excess Power'!H105</f>
        <v>238.43173632374294</v>
      </c>
      <c r="D106" s="34">
        <f t="shared" si="6"/>
        <v>7.3885698125496884</v>
      </c>
      <c r="F106" s="19">
        <f>'Excess Power'!J105</f>
        <v>21.221279284912054</v>
      </c>
      <c r="G106" s="19">
        <f>'Excess Power'!L105</f>
        <v>239.01624085435716</v>
      </c>
      <c r="H106" s="34">
        <f t="shared" si="7"/>
        <v>11.296322996548763</v>
      </c>
      <c r="J106" s="19">
        <f>'Excess Power'!N105</f>
        <v>32.140445743773235</v>
      </c>
      <c r="K106" s="19">
        <f>'Excess Power'!P105</f>
        <v>238.44678956165779</v>
      </c>
      <c r="L106" s="34">
        <f t="shared" si="8"/>
        <v>7.4408206204246694</v>
      </c>
      <c r="N106" s="19">
        <f>'Excess Power'!R105</f>
        <v>42.656195609605092</v>
      </c>
      <c r="O106" s="19">
        <f>'Excess Power'!T105</f>
        <v>237.56587100837808</v>
      </c>
      <c r="P106" s="34">
        <f t="shared" si="9"/>
        <v>5.5857716978180116</v>
      </c>
      <c r="R106" s="19">
        <f>'Excess Power'!V105</f>
        <v>50.846185166649292</v>
      </c>
      <c r="S106" s="19">
        <f>'Excess Power'!X105</f>
        <v>236.58406422693355</v>
      </c>
      <c r="T106" s="34">
        <f t="shared" si="10"/>
        <v>4.6666836817907491</v>
      </c>
      <c r="V106" s="19">
        <f>'Excess Power'!Z105</f>
        <v>150.50790298960621</v>
      </c>
      <c r="W106" s="19">
        <f>'Excess Power'!AB105</f>
        <v>184.34195306830273</v>
      </c>
      <c r="X106" s="34">
        <f t="shared" si="11"/>
        <v>1.228417884212968</v>
      </c>
    </row>
    <row r="107" spans="2:24" x14ac:dyDescent="0.3">
      <c r="B107" s="19">
        <f>'Excess Power'!F106</f>
        <v>32.832184180743475</v>
      </c>
      <c r="C107" s="19">
        <f>'Excess Power'!H106</f>
        <v>241.67247854973957</v>
      </c>
      <c r="D107" s="34">
        <f t="shared" si="6"/>
        <v>7.3825886678258357</v>
      </c>
      <c r="F107" s="19">
        <f>'Excess Power'!J106</f>
        <v>21.527143467333087</v>
      </c>
      <c r="G107" s="19">
        <f>'Excess Power'!L106</f>
        <v>242.27642449066977</v>
      </c>
      <c r="H107" s="34">
        <f t="shared" si="7"/>
        <v>11.287714116279616</v>
      </c>
      <c r="J107" s="19">
        <f>'Excess Power'!N106</f>
        <v>32.603688841801556</v>
      </c>
      <c r="K107" s="19">
        <f>'Excess Power'!P106</f>
        <v>241.68806682907035</v>
      </c>
      <c r="L107" s="34">
        <f t="shared" si="8"/>
        <v>7.4348073429516823</v>
      </c>
      <c r="N107" s="19">
        <f>'Excess Power'!R106</f>
        <v>43.271003144068864</v>
      </c>
      <c r="O107" s="19">
        <f>'Excess Power'!T106</f>
        <v>240.77435488151161</v>
      </c>
      <c r="P107" s="34">
        <f t="shared" si="9"/>
        <v>5.5807750250966448</v>
      </c>
      <c r="R107" s="19">
        <f>'Excess Power'!V106</f>
        <v>51.579035747730089</v>
      </c>
      <c r="S107" s="19">
        <f>'Excess Power'!X106</f>
        <v>239.75403568476929</v>
      </c>
      <c r="T107" s="34">
        <f t="shared" si="10"/>
        <v>4.6620181318859384</v>
      </c>
      <c r="V107" s="19">
        <f>'Excess Power'!Z106</f>
        <v>152.67718675792975</v>
      </c>
      <c r="W107" s="19">
        <f>'Excess Power'!AB106</f>
        <v>185.27572823389761</v>
      </c>
      <c r="X107" s="34">
        <f t="shared" si="11"/>
        <v>1.2170982301973636</v>
      </c>
    </row>
    <row r="108" spans="2:24" x14ac:dyDescent="0.3">
      <c r="B108" s="19">
        <f>'Excess Power'!F107</f>
        <v>33.240454393569138</v>
      </c>
      <c r="C108" s="19">
        <f>'Excess Power'!H107</f>
        <v>244.91753165373348</v>
      </c>
      <c r="D108" s="34">
        <f t="shared" si="6"/>
        <v>7.3898253232405411</v>
      </c>
      <c r="F108" s="19">
        <f>'Excess Power'!J107</f>
        <v>21.794834809357528</v>
      </c>
      <c r="G108" s="19">
        <f>'Excess Power'!L107</f>
        <v>245.5388805227274</v>
      </c>
      <c r="H108" s="34">
        <f t="shared" si="7"/>
        <v>11.299206369775161</v>
      </c>
      <c r="J108" s="19">
        <f>'Excess Power'!N107</f>
        <v>33.009117701150835</v>
      </c>
      <c r="K108" s="19">
        <f>'Excess Power'!P107</f>
        <v>244.93359939805319</v>
      </c>
      <c r="L108" s="34">
        <f t="shared" si="8"/>
        <v>7.4421033932165823</v>
      </c>
      <c r="N108" s="19">
        <f>'Excess Power'!R107</f>
        <v>43.809080707399858</v>
      </c>
      <c r="O108" s="19">
        <f>'Excess Power'!T107</f>
        <v>243.99047924136801</v>
      </c>
      <c r="P108" s="34">
        <f t="shared" si="9"/>
        <v>5.5858592842243411</v>
      </c>
      <c r="R108" s="19">
        <f>'Excess Power'!V107</f>
        <v>52.220424203220645</v>
      </c>
      <c r="S108" s="19">
        <f>'Excess Power'!X107</f>
        <v>242.9355964133353</v>
      </c>
      <c r="T108" s="34">
        <f t="shared" si="10"/>
        <v>4.6658632976106409</v>
      </c>
      <c r="V108" s="19">
        <f>'Excess Power'!Z107</f>
        <v>154.57573688752615</v>
      </c>
      <c r="W108" s="19">
        <f>'Excess Power'!AB107</f>
        <v>186.44795768442751</v>
      </c>
      <c r="X108" s="34">
        <f t="shared" si="11"/>
        <v>1.2097553627473836</v>
      </c>
    </row>
    <row r="109" spans="2:24" x14ac:dyDescent="0.3">
      <c r="B109" s="19">
        <f>'Excess Power'!F108</f>
        <v>33.648724606394801</v>
      </c>
      <c r="C109" s="19">
        <f>'Excess Power'!H108</f>
        <v>247.50687401897071</v>
      </c>
      <c r="D109" s="34">
        <f t="shared" si="6"/>
        <v>7.3773418526952321</v>
      </c>
      <c r="F109" s="19">
        <f>'Excess Power'!J108</f>
        <v>22.062526151381963</v>
      </c>
      <c r="G109" s="19">
        <f>'Excess Power'!L108</f>
        <v>248.14599258919409</v>
      </c>
      <c r="H109" s="34">
        <f t="shared" si="7"/>
        <v>11.280628043043601</v>
      </c>
      <c r="J109" s="19">
        <f>'Excess Power'!N108</f>
        <v>33.414546560500106</v>
      </c>
      <c r="K109" s="19">
        <f>'Excess Power'!P108</f>
        <v>247.52343181768694</v>
      </c>
      <c r="L109" s="34">
        <f t="shared" si="8"/>
        <v>7.4295412208742491</v>
      </c>
      <c r="N109" s="19">
        <f>'Excess Power'!R108</f>
        <v>44.347158270730858</v>
      </c>
      <c r="O109" s="19">
        <f>'Excess Power'!T108</f>
        <v>246.55023439699096</v>
      </c>
      <c r="P109" s="34">
        <f t="shared" si="9"/>
        <v>5.5759757313367633</v>
      </c>
      <c r="R109" s="19">
        <f>'Excess Power'!V108</f>
        <v>52.861812658711187</v>
      </c>
      <c r="S109" s="19">
        <f>'Excess Power'!X108</f>
        <v>245.45997689589819</v>
      </c>
      <c r="T109" s="34">
        <f t="shared" si="10"/>
        <v>4.6571463817243783</v>
      </c>
      <c r="V109" s="19">
        <f>'Excess Power'!Z108</f>
        <v>156.47428701712255</v>
      </c>
      <c r="W109" s="19">
        <f>'Excess Power'!AB108</f>
        <v>186.91362749911934</v>
      </c>
      <c r="X109" s="34">
        <f t="shared" si="11"/>
        <v>1.1980618405829555</v>
      </c>
    </row>
    <row r="110" spans="2:24" x14ac:dyDescent="0.3">
      <c r="B110" s="19">
        <f>'Excess Power'!F109</f>
        <v>34.115319135338417</v>
      </c>
      <c r="C110" s="19">
        <f>'Excess Power'!H109</f>
        <v>251.40007470919826</v>
      </c>
      <c r="D110" s="34">
        <f t="shared" si="6"/>
        <v>7.3908981081762786</v>
      </c>
      <c r="F110" s="19">
        <f>'Excess Power'!J109</f>
        <v>22.368459113695604</v>
      </c>
      <c r="G110" s="19">
        <f>'Excess Power'!L109</f>
        <v>252.05995639818622</v>
      </c>
      <c r="H110" s="34">
        <f t="shared" si="7"/>
        <v>11.301837006816886</v>
      </c>
      <c r="J110" s="19">
        <f>'Excess Power'!N109</f>
        <v>33.877893828327842</v>
      </c>
      <c r="K110" s="19">
        <f>'Excess Power'!P109</f>
        <v>251.41720570354764</v>
      </c>
      <c r="L110" s="34">
        <f t="shared" si="8"/>
        <v>7.4432026543221443</v>
      </c>
      <c r="N110" s="19">
        <f>'Excess Power'!R109</f>
        <v>44.962104057394853</v>
      </c>
      <c r="O110" s="19">
        <f>'Excess Power'!T109</f>
        <v>250.40880447449365</v>
      </c>
      <c r="P110" s="34">
        <f t="shared" si="9"/>
        <v>5.5857850502044259</v>
      </c>
      <c r="R110" s="19">
        <f>'Excess Power'!V109</f>
        <v>53.594828036414675</v>
      </c>
      <c r="S110" s="19">
        <f>'Excess Power'!X109</f>
        <v>249.27711288466912</v>
      </c>
      <c r="T110" s="34">
        <f t="shared" si="10"/>
        <v>4.6648832099170932</v>
      </c>
      <c r="V110" s="19">
        <f>'Excess Power'!Z109</f>
        <v>158.6440585938042</v>
      </c>
      <c r="W110" s="19">
        <f>'Excess Power'!AB109</f>
        <v>188.31670872734307</v>
      </c>
      <c r="X110" s="34">
        <f t="shared" si="11"/>
        <v>1.1905463127788687</v>
      </c>
    </row>
    <row r="111" spans="2:24" x14ac:dyDescent="0.3">
      <c r="B111" s="19">
        <f>'Excess Power'!F110</f>
        <v>34.581913664282034</v>
      </c>
      <c r="C111" s="19">
        <f>'Excess Power'!H110</f>
        <v>254.63919075481306</v>
      </c>
      <c r="D111" s="34">
        <f t="shared" si="6"/>
        <v>7.3851185997895854</v>
      </c>
      <c r="F111" s="19">
        <f>'Excess Power'!J110</f>
        <v>22.674392076009244</v>
      </c>
      <c r="G111" s="19">
        <f>'Excess Power'!L110</f>
        <v>255.32032722149833</v>
      </c>
      <c r="H111" s="34">
        <f t="shared" si="7"/>
        <v>11.293563323564683</v>
      </c>
      <c r="J111" s="19">
        <f>'Excess Power'!N110</f>
        <v>34.341241096155585</v>
      </c>
      <c r="K111" s="19">
        <f>'Excess Power'!P110</f>
        <v>254.65690913988212</v>
      </c>
      <c r="L111" s="34">
        <f t="shared" si="8"/>
        <v>7.4373929537987031</v>
      </c>
      <c r="N111" s="19">
        <f>'Excess Power'!R110</f>
        <v>45.577049844058855</v>
      </c>
      <c r="O111" s="19">
        <f>'Excess Power'!T110</f>
        <v>253.61240723530207</v>
      </c>
      <c r="P111" s="34">
        <f t="shared" si="9"/>
        <v>5.5809166563129908</v>
      </c>
      <c r="R111" s="19">
        <f>'Excess Power'!V110</f>
        <v>54.327843414118156</v>
      </c>
      <c r="S111" s="19">
        <f>'Excess Power'!X110</f>
        <v>252.43819435635001</v>
      </c>
      <c r="T111" s="34">
        <f t="shared" si="10"/>
        <v>4.6602997388673151</v>
      </c>
      <c r="V111" s="19">
        <f>'Excess Power'!Z110</f>
        <v>160.8138301704858</v>
      </c>
      <c r="W111" s="19">
        <f>'Excess Power'!AB110</f>
        <v>188.99754243315905</v>
      </c>
      <c r="X111" s="34">
        <f t="shared" si="11"/>
        <v>1.1787291183980795</v>
      </c>
    </row>
    <row r="112" spans="2:24" x14ac:dyDescent="0.3">
      <c r="B112" s="19">
        <f>'Excess Power'!F111</f>
        <v>35.106832509343612</v>
      </c>
      <c r="C112" s="19">
        <f>'Excess Power'!H111</f>
        <v>258.52660378274982</v>
      </c>
      <c r="D112" s="34">
        <f t="shared" si="6"/>
        <v>7.3857541068629757</v>
      </c>
      <c r="F112" s="19">
        <f>'Excess Power'!J111</f>
        <v>23.018566658612091</v>
      </c>
      <c r="G112" s="19">
        <f>'Excess Power'!L111</f>
        <v>259.23224793309026</v>
      </c>
      <c r="H112" s="34">
        <f t="shared" si="7"/>
        <v>11.295149921753174</v>
      </c>
      <c r="J112" s="19">
        <f>'Excess Power'!N111</f>
        <v>34.862506772461792</v>
      </c>
      <c r="K112" s="19">
        <f>'Excess Power'!P111</f>
        <v>258.54500019167733</v>
      </c>
      <c r="L112" s="34">
        <f t="shared" si="8"/>
        <v>7.4380446833392808</v>
      </c>
      <c r="N112" s="19">
        <f>'Excess Power'!R111</f>
        <v>46.268863854055851</v>
      </c>
      <c r="O112" s="19">
        <f>'Excess Power'!T111</f>
        <v>257.45879771744575</v>
      </c>
      <c r="P112" s="34">
        <f t="shared" si="9"/>
        <v>5.5808474626147424</v>
      </c>
      <c r="R112" s="19">
        <f>'Excess Power'!V111</f>
        <v>55.152485714034583</v>
      </c>
      <c r="S112" s="19">
        <f>'Excess Power'!X111</f>
        <v>256.23543032958537</v>
      </c>
      <c r="T112" s="34">
        <f t="shared" si="10"/>
        <v>4.6596719300751772</v>
      </c>
      <c r="V112" s="19">
        <f>'Excess Power'!Z111</f>
        <v>163.25482319425262</v>
      </c>
      <c r="W112" s="19">
        <f>'Excess Power'!AB111</f>
        <v>189.9242511131458</v>
      </c>
      <c r="X112" s="34">
        <f t="shared" si="11"/>
        <v>1.1667979372304766</v>
      </c>
    </row>
    <row r="113" spans="2:24" x14ac:dyDescent="0.3">
      <c r="B113" s="19">
        <f>'Excess Power'!F112</f>
        <v>35.573427038287221</v>
      </c>
      <c r="C113" s="19">
        <f>'Excess Power'!H112</f>
        <v>262.41853386758606</v>
      </c>
      <c r="D113" s="34">
        <f t="shared" si="6"/>
        <v>7.3986085476313788</v>
      </c>
      <c r="F113" s="19">
        <f>'Excess Power'!J112</f>
        <v>23.324499620925735</v>
      </c>
      <c r="G113" s="19">
        <f>'Excess Power'!L112</f>
        <v>263.14649989799619</v>
      </c>
      <c r="H113" s="34">
        <f t="shared" si="7"/>
        <v>11.315311474307819</v>
      </c>
      <c r="J113" s="19">
        <f>'Excess Power'!N112</f>
        <v>35.325854040289535</v>
      </c>
      <c r="K113" s="19">
        <f>'Excess Power'!P112</f>
        <v>262.43754847641731</v>
      </c>
      <c r="L113" s="34">
        <f t="shared" si="8"/>
        <v>7.4509998213255662</v>
      </c>
      <c r="N113" s="19">
        <f>'Excess Power'!R112</f>
        <v>46.883809640719853</v>
      </c>
      <c r="O113" s="19">
        <f>'Excess Power'!T112</f>
        <v>261.31329875553314</v>
      </c>
      <c r="P113" s="34">
        <f t="shared" si="9"/>
        <v>5.5901037646683767</v>
      </c>
      <c r="R113" s="19">
        <f>'Excess Power'!V112</f>
        <v>55.885501091738071</v>
      </c>
      <c r="S113" s="19">
        <f>'Excess Power'!X112</f>
        <v>260.0450504059263</v>
      </c>
      <c r="T113" s="34">
        <f t="shared" si="10"/>
        <v>4.6669236247778407</v>
      </c>
      <c r="V113" s="19">
        <f>'Excess Power'!Z112</f>
        <v>165.42459477093422</v>
      </c>
      <c r="W113" s="19">
        <f>'Excess Power'!AB112</f>
        <v>191.10995734070355</v>
      </c>
      <c r="X113" s="34">
        <f t="shared" si="11"/>
        <v>1.1586826049771948</v>
      </c>
    </row>
    <row r="114" spans="2:24" x14ac:dyDescent="0.3">
      <c r="B114" s="19">
        <f>'Excess Power'!F113</f>
        <v>35.981697251112884</v>
      </c>
      <c r="C114" s="19">
        <f>'Excess Power'!H113</f>
        <v>265.00483738527549</v>
      </c>
      <c r="D114" s="34">
        <f t="shared" si="6"/>
        <v>7.3867501126502342</v>
      </c>
      <c r="F114" s="19">
        <f>'Excess Power'!J113</f>
        <v>23.59219096295017</v>
      </c>
      <c r="G114" s="19">
        <f>'Excess Power'!L113</f>
        <v>265.75275538274218</v>
      </c>
      <c r="H114" s="34">
        <f t="shared" si="7"/>
        <v>11.297718571232732</v>
      </c>
      <c r="J114" s="19">
        <f>'Excess Power'!N113</f>
        <v>35.731282899638806</v>
      </c>
      <c r="K114" s="19">
        <f>'Excess Power'!P113</f>
        <v>265.02440505448203</v>
      </c>
      <c r="L114" s="34">
        <f t="shared" si="8"/>
        <v>7.4390676778209466</v>
      </c>
      <c r="N114" s="19">
        <f>'Excess Power'!R113</f>
        <v>47.421887204050854</v>
      </c>
      <c r="O114" s="19">
        <f>'Excess Power'!T113</f>
        <v>263.86609725597464</v>
      </c>
      <c r="P114" s="34">
        <f t="shared" si="9"/>
        <v>5.5806657481911532</v>
      </c>
      <c r="R114" s="19">
        <f>'Excess Power'!V113</f>
        <v>56.52688954722862</v>
      </c>
      <c r="S114" s="19">
        <f>'Excess Power'!X113</f>
        <v>262.55764861108713</v>
      </c>
      <c r="T114" s="34">
        <f t="shared" si="10"/>
        <v>4.6585508105541562</v>
      </c>
      <c r="V114" s="19">
        <f>'Excess Power'!Z113</f>
        <v>167.32314490053062</v>
      </c>
      <c r="W114" s="19">
        <f>'Excess Power'!AB113</f>
        <v>191.27004215446289</v>
      </c>
      <c r="X114" s="34">
        <f t="shared" si="11"/>
        <v>1.1464950548362107</v>
      </c>
    </row>
    <row r="115" spans="2:24" x14ac:dyDescent="0.3">
      <c r="B115" s="19">
        <f>'Excess Power'!F114</f>
        <v>36.506616096174461</v>
      </c>
      <c r="C115" s="19">
        <f>'Excess Power'!H114</f>
        <v>268.89074295326361</v>
      </c>
      <c r="D115" s="34">
        <f t="shared" si="6"/>
        <v>7.3872963784196344</v>
      </c>
      <c r="F115" s="19">
        <f>'Excess Power'!J114</f>
        <v>23.93636554555302</v>
      </c>
      <c r="G115" s="19">
        <f>'Excess Power'!L114</f>
        <v>269.66489748635757</v>
      </c>
      <c r="H115" s="34">
        <f t="shared" si="7"/>
        <v>11.299193863360918</v>
      </c>
      <c r="J115" s="19">
        <f>'Excess Power'!N114</f>
        <v>36.252548575945021</v>
      </c>
      <c r="K115" s="19">
        <f>'Excess Power'!P114</f>
        <v>268.91103856142576</v>
      </c>
      <c r="L115" s="34">
        <f t="shared" si="8"/>
        <v>7.4396300134066902</v>
      </c>
      <c r="N115" s="19">
        <f>'Excess Power'!R114</f>
        <v>48.11370121404785</v>
      </c>
      <c r="O115" s="19">
        <f>'Excess Power'!T114</f>
        <v>267.70787648147848</v>
      </c>
      <c r="P115" s="34">
        <f t="shared" si="9"/>
        <v>5.5805066913598562</v>
      </c>
      <c r="R115" s="19">
        <f>'Excess Power'!V114</f>
        <v>57.35153184714504</v>
      </c>
      <c r="S115" s="19">
        <f>'Excess Power'!X114</f>
        <v>266.34645033490671</v>
      </c>
      <c r="T115" s="34">
        <f t="shared" si="10"/>
        <v>4.6578247245609692</v>
      </c>
      <c r="V115" s="19">
        <f>'Excess Power'!Z114</f>
        <v>169.76413792429747</v>
      </c>
      <c r="W115" s="19">
        <f>'Excess Power'!AB114</f>
        <v>191.95555785708439</v>
      </c>
      <c r="X115" s="34">
        <f t="shared" si="11"/>
        <v>1.1340598882190123</v>
      </c>
    </row>
    <row r="116" spans="2:24" x14ac:dyDescent="0.3">
      <c r="B116" s="19">
        <f>'Excess Power'!F115</f>
        <v>36.85656199288217</v>
      </c>
      <c r="C116" s="19">
        <f>'Excess Power'!H115</f>
        <v>271.48053235465522</v>
      </c>
      <c r="D116" s="34">
        <f t="shared" si="6"/>
        <v>7.387629751795763</v>
      </c>
      <c r="F116" s="19">
        <f>'Excess Power'!J115</f>
        <v>24.165815267288252</v>
      </c>
      <c r="G116" s="19">
        <f>'Excess Power'!L115</f>
        <v>272.27254724968907</v>
      </c>
      <c r="H116" s="34">
        <f t="shared" si="7"/>
        <v>11.300135577722896</v>
      </c>
      <c r="J116" s="19">
        <f>'Excess Power'!N115</f>
        <v>36.600059026815828</v>
      </c>
      <c r="K116" s="19">
        <f>'Excess Power'!P115</f>
        <v>271.50132391891884</v>
      </c>
      <c r="L116" s="34">
        <f t="shared" si="8"/>
        <v>7.4399739826074471</v>
      </c>
      <c r="N116" s="19">
        <f>'Excess Power'!R115</f>
        <v>48.57491055404585</v>
      </c>
      <c r="O116" s="19">
        <f>'Excess Power'!T115</f>
        <v>270.26758525076849</v>
      </c>
      <c r="P116" s="34">
        <f t="shared" si="9"/>
        <v>5.5803726661459541</v>
      </c>
      <c r="R116" s="19">
        <f>'Excess Power'!V115</f>
        <v>57.901293380422665</v>
      </c>
      <c r="S116" s="19">
        <f>'Excess Power'!X115</f>
        <v>268.87002405596212</v>
      </c>
      <c r="T116" s="34">
        <f t="shared" si="10"/>
        <v>4.6573124194593198</v>
      </c>
      <c r="V116" s="19">
        <f>'Excess Power'!Z115</f>
        <v>171.39146660680868</v>
      </c>
      <c r="W116" s="19">
        <f>'Excess Power'!AB115</f>
        <v>192.36054950680293</v>
      </c>
      <c r="X116" s="34">
        <f t="shared" si="11"/>
        <v>1.1256621540941867</v>
      </c>
    </row>
    <row r="117" spans="2:24" x14ac:dyDescent="0.3">
      <c r="B117" s="19">
        <f>'Excess Power'!F116</f>
        <v>37.323156521825794</v>
      </c>
      <c r="C117" s="19">
        <f>'Excess Power'!H116</f>
        <v>275.36883700687861</v>
      </c>
      <c r="D117" s="34">
        <f t="shared" si="6"/>
        <v>7.399760697921546</v>
      </c>
      <c r="F117" s="19">
        <f>'Excess Power'!J116</f>
        <v>24.471748229601893</v>
      </c>
      <c r="G117" s="19">
        <f>'Excess Power'!L116</f>
        <v>276.18513097738651</v>
      </c>
      <c r="H117" s="34">
        <f t="shared" si="7"/>
        <v>11.319221246549866</v>
      </c>
      <c r="J117" s="19">
        <f>'Excess Power'!N116</f>
        <v>37.063406294643563</v>
      </c>
      <c r="K117" s="19">
        <f>'Excess Power'!P116</f>
        <v>275.39030327883279</v>
      </c>
      <c r="L117" s="34">
        <f t="shared" si="8"/>
        <v>7.4522010808145405</v>
      </c>
      <c r="N117" s="19">
        <f>'Excess Power'!R116</f>
        <v>49.189856340709845</v>
      </c>
      <c r="O117" s="19">
        <f>'Excess Power'!T116</f>
        <v>274.11494711607435</v>
      </c>
      <c r="P117" s="34">
        <f t="shared" si="9"/>
        <v>5.5890553996102961</v>
      </c>
      <c r="R117" s="19">
        <f>'Excess Power'!V116</f>
        <v>58.634308758126153</v>
      </c>
      <c r="S117" s="19">
        <f>'Excess Power'!X116</f>
        <v>272.66817703323693</v>
      </c>
      <c r="T117" s="34">
        <f t="shared" si="10"/>
        <v>4.664057500607762</v>
      </c>
      <c r="V117" s="19">
        <f>'Excess Power'!Z116</f>
        <v>173.5612381834903</v>
      </c>
      <c r="W117" s="19">
        <f>'Excess Power'!AB116</f>
        <v>193.27128758371703</v>
      </c>
      <c r="X117" s="34">
        <f t="shared" si="11"/>
        <v>1.1168525784715249</v>
      </c>
    </row>
    <row r="118" spans="2:24" x14ac:dyDescent="0.3">
      <c r="B118" s="19">
        <f>'Excess Power'!F117</f>
        <v>37.73142673465145</v>
      </c>
      <c r="C118" s="19">
        <f>'Excess Power'!H117</f>
        <v>277.9527269661566</v>
      </c>
      <c r="D118" s="34">
        <f t="shared" si="6"/>
        <v>7.3883755547514207</v>
      </c>
      <c r="F118" s="19">
        <f>'Excess Power'!J117</f>
        <v>24.739439571626331</v>
      </c>
      <c r="G118" s="19">
        <f>'Excess Power'!L117</f>
        <v>278.79070613513858</v>
      </c>
      <c r="H118" s="34">
        <f t="shared" si="7"/>
        <v>11.302374297492555</v>
      </c>
      <c r="J118" s="19">
        <f>'Excess Power'!N117</f>
        <v>37.468835153992835</v>
      </c>
      <c r="K118" s="19">
        <f>'Excess Power'!P117</f>
        <v>277.97479634002582</v>
      </c>
      <c r="L118" s="34">
        <f t="shared" si="8"/>
        <v>7.4407460057193902</v>
      </c>
      <c r="N118" s="19">
        <f>'Excess Power'!R117</f>
        <v>49.727933904040853</v>
      </c>
      <c r="O118" s="19">
        <f>'Excess Power'!T117</f>
        <v>276.66222039902345</v>
      </c>
      <c r="P118" s="34">
        <f t="shared" si="9"/>
        <v>5.5799549613341179</v>
      </c>
      <c r="R118" s="19">
        <f>'Excess Power'!V117</f>
        <v>59.275697213616702</v>
      </c>
      <c r="S118" s="19">
        <f>'Excess Power'!X117</f>
        <v>275.1714173439064</v>
      </c>
      <c r="T118" s="34">
        <f t="shared" si="10"/>
        <v>4.6559456367025591</v>
      </c>
      <c r="V118" s="19">
        <f>'Excess Power'!Z117</f>
        <v>175.4597883130867</v>
      </c>
      <c r="W118" s="19">
        <f>'Excess Power'!AB117</f>
        <v>193.18866616172306</v>
      </c>
      <c r="X118" s="34">
        <f t="shared" si="11"/>
        <v>1.1042954782976293</v>
      </c>
    </row>
    <row r="119" spans="2:24" x14ac:dyDescent="0.3">
      <c r="B119" s="19">
        <f>'Excess Power'!F118</f>
        <v>38.198021263595066</v>
      </c>
      <c r="C119" s="19">
        <f>'Excess Power'!H118</f>
        <v>281.84051952228776</v>
      </c>
      <c r="D119" s="34">
        <f t="shared" si="6"/>
        <v>7.400206104852689</v>
      </c>
      <c r="F119" s="19">
        <f>'Excess Power'!J118</f>
        <v>25.045372533939972</v>
      </c>
      <c r="G119" s="19">
        <f>'Excess Power'!L118</f>
        <v>282.70379182519787</v>
      </c>
      <c r="H119" s="34">
        <f t="shared" si="7"/>
        <v>11.321015594560745</v>
      </c>
      <c r="J119" s="19">
        <f>'Excess Power'!N118</f>
        <v>37.932182421820585</v>
      </c>
      <c r="K119" s="19">
        <f>'Excess Power'!P118</f>
        <v>281.86329288155719</v>
      </c>
      <c r="L119" s="34">
        <f t="shared" si="8"/>
        <v>7.4526708652999085</v>
      </c>
      <c r="N119" s="19">
        <f>'Excess Power'!R118</f>
        <v>50.342879690704848</v>
      </c>
      <c r="O119" s="19">
        <f>'Excess Power'!T118</f>
        <v>280.50724963569547</v>
      </c>
      <c r="P119" s="34">
        <f t="shared" si="9"/>
        <v>5.5883974612405547</v>
      </c>
      <c r="R119" s="19">
        <f>'Excess Power'!V118</f>
        <v>60.00871259132019</v>
      </c>
      <c r="S119" s="19">
        <f>'Excess Power'!X118</f>
        <v>278.96499531540496</v>
      </c>
      <c r="T119" s="34">
        <f t="shared" si="10"/>
        <v>4.6624764637053859</v>
      </c>
      <c r="V119" s="19">
        <f>'Excess Power'!Z118</f>
        <v>177.6295598897683</v>
      </c>
      <c r="W119" s="19">
        <f>'Excess Power'!AB118</f>
        <v>193.95830455656088</v>
      </c>
      <c r="X119" s="34">
        <f t="shared" si="11"/>
        <v>1.0951519741668012</v>
      </c>
    </row>
    <row r="120" spans="2:24" x14ac:dyDescent="0.3">
      <c r="B120" s="19">
        <f>'Excess Power'!F119</f>
        <v>38.606291476420736</v>
      </c>
      <c r="C120" s="19">
        <f>'Excess Power'!H119</f>
        <v>285.07745949504755</v>
      </c>
      <c r="D120" s="34">
        <f t="shared" si="6"/>
        <v>7.4060398674092012</v>
      </c>
      <c r="F120" s="19">
        <f>'Excess Power'!J119</f>
        <v>25.31306387596441</v>
      </c>
      <c r="G120" s="19">
        <f>'Excess Power'!L119</f>
        <v>285.96331464029851</v>
      </c>
      <c r="H120" s="34">
        <f t="shared" si="7"/>
        <v>11.330442164453654</v>
      </c>
      <c r="J120" s="19">
        <f>'Excess Power'!N119</f>
        <v>38.337611281169856</v>
      </c>
      <c r="K120" s="19">
        <f>'Excess Power'!P119</f>
        <v>285.10086187284116</v>
      </c>
      <c r="L120" s="34">
        <f t="shared" si="8"/>
        <v>7.4585556004325246</v>
      </c>
      <c r="N120" s="19">
        <f>'Excess Power'!R119</f>
        <v>50.880957254035849</v>
      </c>
      <c r="O120" s="19">
        <f>'Excess Power'!T119</f>
        <v>283.70596139793588</v>
      </c>
      <c r="P120" s="34">
        <f t="shared" si="9"/>
        <v>5.5923512235816215</v>
      </c>
      <c r="R120" s="19">
        <f>'Excess Power'!V119</f>
        <v>60.65010104681074</v>
      </c>
      <c r="S120" s="19">
        <f>'Excess Power'!X119</f>
        <v>282.11768915461607</v>
      </c>
      <c r="T120" s="34">
        <f t="shared" si="10"/>
        <v>4.6653049839499587</v>
      </c>
      <c r="V120" s="19">
        <f>'Excess Power'!Z119</f>
        <v>179.52811001936473</v>
      </c>
      <c r="W120" s="19">
        <f>'Excess Power'!AB119</f>
        <v>194.40428511078017</v>
      </c>
      <c r="X120" s="34">
        <f t="shared" si="11"/>
        <v>1.0860620177345324</v>
      </c>
    </row>
    <row r="121" spans="2:24" x14ac:dyDescent="0.3">
      <c r="B121" s="19">
        <f>'Excess Power'!F120</f>
        <v>38.897913057010491</v>
      </c>
      <c r="C121" s="19">
        <f>'Excess Power'!H120</f>
        <v>287.01556809562544</v>
      </c>
      <c r="D121" s="34">
        <f t="shared" si="6"/>
        <v>7.4004887669891364</v>
      </c>
      <c r="F121" s="19">
        <f>'Excess Power'!J120</f>
        <v>25.504271977410436</v>
      </c>
      <c r="G121" s="19">
        <f>'Excess Power'!L120</f>
        <v>287.91781438364421</v>
      </c>
      <c r="H121" s="34">
        <f t="shared" si="7"/>
        <v>11.322357325438704</v>
      </c>
      <c r="J121" s="19">
        <f>'Excess Power'!N120</f>
        <v>38.627203323562192</v>
      </c>
      <c r="K121" s="19">
        <f>'Excess Power'!P120</f>
        <v>287.03942729465956</v>
      </c>
      <c r="L121" s="34">
        <f t="shared" si="8"/>
        <v>7.4529728678089402</v>
      </c>
      <c r="N121" s="19">
        <f>'Excess Power'!R120</f>
        <v>51.26529837070084</v>
      </c>
      <c r="O121" s="19">
        <f>'Excess Power'!T120</f>
        <v>285.61629638612362</v>
      </c>
      <c r="P121" s="34">
        <f t="shared" si="9"/>
        <v>5.5877986049150383</v>
      </c>
      <c r="R121" s="19">
        <f>'Excess Power'!V120</f>
        <v>61.108235657875412</v>
      </c>
      <c r="S121" s="19">
        <f>'Excess Power'!X120</f>
        <v>283.99457806590834</v>
      </c>
      <c r="T121" s="34">
        <f t="shared" si="10"/>
        <v>4.6611336408129498</v>
      </c>
      <c r="V121" s="19">
        <f>'Excess Power'!Z120</f>
        <v>180.88421725479071</v>
      </c>
      <c r="W121" s="19">
        <f>'Excess Power'!AB120</f>
        <v>194.31273023177769</v>
      </c>
      <c r="X121" s="34">
        <f t="shared" si="11"/>
        <v>1.0774120538727252</v>
      </c>
    </row>
    <row r="122" spans="2:24" x14ac:dyDescent="0.3">
      <c r="B122" s="19">
        <f>'Excess Power'!F121</f>
        <v>39.072886005364353</v>
      </c>
      <c r="C122" s="19">
        <f>'Excess Power'!H121</f>
        <v>288.30950703522922</v>
      </c>
      <c r="D122" s="34">
        <f t="shared" si="6"/>
        <v>7.4005623884307692</v>
      </c>
      <c r="F122" s="19">
        <f>'Excess Power'!J121</f>
        <v>25.618996838278051</v>
      </c>
      <c r="G122" s="19">
        <f>'Excess Power'!L121</f>
        <v>289.22169301336379</v>
      </c>
      <c r="H122" s="34">
        <f t="shared" si="7"/>
        <v>11.322699849761545</v>
      </c>
      <c r="J122" s="19">
        <f>'Excess Power'!N121</f>
        <v>38.800958548997592</v>
      </c>
      <c r="K122" s="19">
        <f>'Excess Power'!P121</f>
        <v>288.33364335867702</v>
      </c>
      <c r="L122" s="34">
        <f t="shared" si="8"/>
        <v>7.4530513943070087</v>
      </c>
      <c r="N122" s="19">
        <f>'Excess Power'!R121</f>
        <v>51.495903040699844</v>
      </c>
      <c r="O122" s="19">
        <f>'Excess Power'!T121</f>
        <v>286.89338264447866</v>
      </c>
      <c r="P122" s="34">
        <f t="shared" si="9"/>
        <v>5.5876488262899997</v>
      </c>
      <c r="R122" s="19">
        <f>'Excess Power'!V121</f>
        <v>61.383116424514228</v>
      </c>
      <c r="S122" s="19">
        <f>'Excess Power'!X121</f>
        <v>285.25136448284303</v>
      </c>
      <c r="T122" s="34">
        <f t="shared" si="10"/>
        <v>4.6607954967063705</v>
      </c>
      <c r="V122" s="19">
        <f>'Excess Power'!Z121</f>
        <v>181.69788159604636</v>
      </c>
      <c r="W122" s="19">
        <f>'Excess Power'!AB121</f>
        <v>194.37431341903877</v>
      </c>
      <c r="X122" s="34">
        <f t="shared" si="11"/>
        <v>1.0729272099971108</v>
      </c>
    </row>
    <row r="123" spans="2:24" x14ac:dyDescent="0.3">
      <c r="B123" s="19">
        <f>'Excess Power'!F122</f>
        <v>39.364507585954108</v>
      </c>
      <c r="C123" s="19">
        <f>'Excess Power'!H122</f>
        <v>290.90142664830012</v>
      </c>
      <c r="D123" s="34">
        <f t="shared" si="6"/>
        <v>7.4117758871758284</v>
      </c>
      <c r="F123" s="19">
        <f>'Excess Power'!J122</f>
        <v>25.810204939724077</v>
      </c>
      <c r="G123" s="19">
        <f>'Excess Power'!L122</f>
        <v>291.83035492229914</v>
      </c>
      <c r="H123" s="34">
        <f t="shared" si="7"/>
        <v>11.3401881796163</v>
      </c>
      <c r="J123" s="19">
        <f>'Excess Power'!N122</f>
        <v>39.090550591389935</v>
      </c>
      <c r="K123" s="19">
        <f>'Excess Power'!P122</f>
        <v>290.92602993141628</v>
      </c>
      <c r="L123" s="34">
        <f t="shared" si="8"/>
        <v>7.4643508391776816</v>
      </c>
      <c r="N123" s="19">
        <f>'Excess Power'!R122</f>
        <v>51.880244157364835</v>
      </c>
      <c r="O123" s="19">
        <f>'Excess Power'!T122</f>
        <v>289.45689822229104</v>
      </c>
      <c r="P123" s="34">
        <f t="shared" si="9"/>
        <v>5.5958123655824838</v>
      </c>
      <c r="R123" s="19">
        <f>'Excess Power'!V122</f>
        <v>61.8412510355789</v>
      </c>
      <c r="S123" s="19">
        <f>'Excess Power'!X122</f>
        <v>287.78065748249026</v>
      </c>
      <c r="T123" s="34">
        <f t="shared" si="10"/>
        <v>4.6672878326782925</v>
      </c>
      <c r="V123" s="19">
        <f>'Excess Power'!Z122</f>
        <v>183.05398883147234</v>
      </c>
      <c r="W123" s="19">
        <f>'Excess Power'!AB122</f>
        <v>194.88788619906478</v>
      </c>
      <c r="X123" s="34">
        <f t="shared" si="11"/>
        <v>1.0677925816592437</v>
      </c>
    </row>
    <row r="124" spans="2:24" x14ac:dyDescent="0.3">
      <c r="B124" s="19">
        <f>'Excess Power'!F123</f>
        <v>39.772777798779778</v>
      </c>
      <c r="C124" s="19">
        <f>'Excess Power'!H123</f>
        <v>293.4823551647853</v>
      </c>
      <c r="D124" s="34">
        <f t="shared" si="6"/>
        <v>7.4007770745209882</v>
      </c>
      <c r="F124" s="19">
        <f>'Excess Power'!J123</f>
        <v>26.077896281748515</v>
      </c>
      <c r="G124" s="19">
        <f>'Excess Power'!L123</f>
        <v>294.4350953169631</v>
      </c>
      <c r="H124" s="34">
        <f t="shared" si="7"/>
        <v>11.323958573919537</v>
      </c>
      <c r="J124" s="19">
        <f>'Excess Power'!N123</f>
        <v>39.495979450739199</v>
      </c>
      <c r="K124" s="19">
        <f>'Excess Power'!P123</f>
        <v>293.50762295092295</v>
      </c>
      <c r="L124" s="34">
        <f t="shared" si="8"/>
        <v>7.4532853383555624</v>
      </c>
      <c r="N124" s="19">
        <f>'Excess Power'!R123</f>
        <v>52.41832172069585</v>
      </c>
      <c r="O124" s="19">
        <f>'Excess Power'!T123</f>
        <v>291.99739204821753</v>
      </c>
      <c r="P124" s="34">
        <f t="shared" si="9"/>
        <v>5.5869799337739083</v>
      </c>
      <c r="R124" s="19">
        <f>'Excess Power'!V123</f>
        <v>62.482639491069449</v>
      </c>
      <c r="S124" s="19">
        <f>'Excess Power'!X123</f>
        <v>290.27241563094339</v>
      </c>
      <c r="T124" s="34">
        <f t="shared" si="10"/>
        <v>4.659374844731655</v>
      </c>
      <c r="V124" s="19">
        <f>'Excess Power'!Z123</f>
        <v>184.95253896106877</v>
      </c>
      <c r="W124" s="19">
        <f>'Excess Power'!AB123</f>
        <v>194.50746355988363</v>
      </c>
      <c r="X124" s="34">
        <f t="shared" si="11"/>
        <v>1.0547686763212432</v>
      </c>
    </row>
    <row r="125" spans="2:24" x14ac:dyDescent="0.3">
      <c r="B125" s="19">
        <f>'Excess Power'!F124</f>
        <v>40.006075063251586</v>
      </c>
      <c r="C125" s="19">
        <f>'Excess Power'!H124</f>
        <v>295.42464034451115</v>
      </c>
      <c r="D125" s="34">
        <f t="shared" si="6"/>
        <v>7.4063123014277394</v>
      </c>
      <c r="F125" s="19">
        <f>'Excess Power'!J124</f>
        <v>26.230862762905335</v>
      </c>
      <c r="G125" s="19">
        <f>'Excess Power'!L124</f>
        <v>296.39118403016607</v>
      </c>
      <c r="H125" s="34">
        <f t="shared" si="7"/>
        <v>11.332714746847481</v>
      </c>
      <c r="J125" s="19">
        <f>'Excess Power'!N124</f>
        <v>39.72765308465307</v>
      </c>
      <c r="K125" s="19">
        <f>'Excess Power'!P124</f>
        <v>295.45029352707394</v>
      </c>
      <c r="L125" s="34">
        <f t="shared" si="8"/>
        <v>7.4588653454419429</v>
      </c>
      <c r="N125" s="19">
        <f>'Excess Power'!R124</f>
        <v>52.725794614027841</v>
      </c>
      <c r="O125" s="19">
        <f>'Excess Power'!T124</f>
        <v>293.91621847376445</v>
      </c>
      <c r="P125" s="34">
        <f t="shared" si="9"/>
        <v>5.5908992829601676</v>
      </c>
      <c r="R125" s="19">
        <f>'Excess Power'!V124</f>
        <v>62.849147179921196</v>
      </c>
      <c r="S125" s="19">
        <f>'Excess Power'!X124</f>
        <v>292.16295803562468</v>
      </c>
      <c r="T125" s="34">
        <f t="shared" si="10"/>
        <v>4.6623729982590802</v>
      </c>
      <c r="V125" s="19">
        <f>'Excess Power'!Z124</f>
        <v>186.03742474940952</v>
      </c>
      <c r="W125" s="19">
        <f>'Excess Power'!AB124</f>
        <v>194.73027150800246</v>
      </c>
      <c r="X125" s="34">
        <f t="shared" si="11"/>
        <v>1.0498189340646027</v>
      </c>
    </row>
    <row r="126" spans="2:24" x14ac:dyDescent="0.3">
      <c r="B126" s="19">
        <f>'Excess Power'!F125</f>
        <v>40.356020959959295</v>
      </c>
      <c r="C126" s="19">
        <f>'Excess Power'!H125</f>
        <v>298.01009140606834</v>
      </c>
      <c r="D126" s="34">
        <f t="shared" si="6"/>
        <v>7.406344051203563</v>
      </c>
      <c r="F126" s="19">
        <f>'Excess Power'!J125</f>
        <v>26.460312484640568</v>
      </c>
      <c r="G126" s="19">
        <f>'Excess Power'!L125</f>
        <v>298.99761091457981</v>
      </c>
      <c r="H126" s="34">
        <f t="shared" si="7"/>
        <v>11.333237773397405</v>
      </c>
      <c r="J126" s="19">
        <f>'Excess Power'!N125</f>
        <v>40.075163535523878</v>
      </c>
      <c r="K126" s="19">
        <f>'Excess Power'!P125</f>
        <v>298.03633049374895</v>
      </c>
      <c r="L126" s="34">
        <f t="shared" si="8"/>
        <v>7.4589063651438217</v>
      </c>
      <c r="N126" s="19">
        <f>'Excess Power'!R125</f>
        <v>53.18700395402584</v>
      </c>
      <c r="O126" s="19">
        <f>'Excess Power'!T125</f>
        <v>296.46599573651713</v>
      </c>
      <c r="P126" s="34">
        <f t="shared" si="9"/>
        <v>5.5904994809195543</v>
      </c>
      <c r="R126" s="19">
        <f>'Excess Power'!V125</f>
        <v>63.398908713198814</v>
      </c>
      <c r="S126" s="19">
        <f>'Excess Power'!X125</f>
        <v>294.66971106311541</v>
      </c>
      <c r="T126" s="34">
        <f t="shared" si="10"/>
        <v>4.661599578243238</v>
      </c>
      <c r="V126" s="19">
        <f>'Excess Power'!Z125</f>
        <v>187.66475343192076</v>
      </c>
      <c r="W126" s="19">
        <f>'Excess Power'!AB125</f>
        <v>194.69900185753275</v>
      </c>
      <c r="X126" s="34">
        <f t="shared" si="11"/>
        <v>1.040548346652187</v>
      </c>
    </row>
    <row r="127" spans="2:24" x14ac:dyDescent="0.3">
      <c r="B127" s="19">
        <f>'Excess Power'!F126</f>
        <v>40.822615488902919</v>
      </c>
      <c r="C127" s="19">
        <f>'Excess Power'!H126</f>
        <v>301.89345015477915</v>
      </c>
      <c r="D127" s="34">
        <f t="shared" si="6"/>
        <v>7.4170996750073295</v>
      </c>
      <c r="F127" s="19">
        <f>'Excess Power'!J126</f>
        <v>26.766245446954208</v>
      </c>
      <c r="G127" s="19">
        <f>'Excess Power'!L126</f>
        <v>302.90944681558926</v>
      </c>
      <c r="H127" s="34">
        <f t="shared" si="7"/>
        <v>11.350280977842102</v>
      </c>
      <c r="J127" s="19">
        <f>'Excess Power'!N126</f>
        <v>40.53851080335162</v>
      </c>
      <c r="K127" s="19">
        <f>'Excess Power'!P126</f>
        <v>301.92048515625464</v>
      </c>
      <c r="L127" s="34">
        <f t="shared" si="8"/>
        <v>7.4697495530169169</v>
      </c>
      <c r="N127" s="19">
        <f>'Excess Power'!R126</f>
        <v>53.801949740689835</v>
      </c>
      <c r="O127" s="19">
        <f>'Excess Power'!T126</f>
        <v>300.30087491831529</v>
      </c>
      <c r="P127" s="34">
        <f t="shared" si="9"/>
        <v>5.5980894550279814</v>
      </c>
      <c r="R127" s="19">
        <f>'Excess Power'!V126</f>
        <v>64.131924090902288</v>
      </c>
      <c r="S127" s="19">
        <f>'Excess Power'!X126</f>
        <v>298.44609819231266</v>
      </c>
      <c r="T127" s="34">
        <f t="shared" si="10"/>
        <v>4.6673770512619939</v>
      </c>
      <c r="V127" s="19">
        <f>'Excess Power'!Z126</f>
        <v>189.83452500860236</v>
      </c>
      <c r="W127" s="19">
        <f>'Excess Power'!AB126</f>
        <v>195.02277877912388</v>
      </c>
      <c r="X127" s="34">
        <f t="shared" si="11"/>
        <v>1.0303656957807596</v>
      </c>
    </row>
    <row r="128" spans="2:24" x14ac:dyDescent="0.3">
      <c r="B128" s="19">
        <f>'Excess Power'!F127</f>
        <v>41.347534333964489</v>
      </c>
      <c r="C128" s="19">
        <f>'Excess Power'!H127</f>
        <v>305.76939902064817</v>
      </c>
      <c r="D128" s="34">
        <f t="shared" si="6"/>
        <v>7.4169551715385023</v>
      </c>
      <c r="F128" s="19">
        <f>'Excess Power'!J127</f>
        <v>27.110420029557059</v>
      </c>
      <c r="G128" s="19">
        <f>'Excess Power'!L127</f>
        <v>306.8181360417197</v>
      </c>
      <c r="H128" s="34">
        <f t="shared" si="7"/>
        <v>11.350788509932267</v>
      </c>
      <c r="J128" s="19">
        <f>'Excess Power'!N127</f>
        <v>41.059776479657828</v>
      </c>
      <c r="K128" s="19">
        <f>'Excess Power'!P127</f>
        <v>305.79734973831142</v>
      </c>
      <c r="L128" s="34">
        <f t="shared" si="8"/>
        <v>7.4696179132865241</v>
      </c>
      <c r="N128" s="19">
        <f>'Excess Power'!R127</f>
        <v>54.493763750686831</v>
      </c>
      <c r="O128" s="19">
        <f>'Excess Power'!T127</f>
        <v>304.12102116767215</v>
      </c>
      <c r="P128" s="34">
        <f t="shared" si="9"/>
        <v>5.5973296677374469</v>
      </c>
      <c r="R128" s="19">
        <f>'Excess Power'!V127</f>
        <v>64.956566390818708</v>
      </c>
      <c r="S128" s="19">
        <f>'Excess Power'!X127</f>
        <v>302.1988850987434</v>
      </c>
      <c r="T128" s="34">
        <f t="shared" si="10"/>
        <v>4.6660678401240299</v>
      </c>
      <c r="V128" s="19">
        <f>'Excess Power'!Z127</f>
        <v>192.27551803236921</v>
      </c>
      <c r="W128" s="19">
        <f>'Excess Power'!AB127</f>
        <v>194.79665701238025</v>
      </c>
      <c r="X128" s="34">
        <f t="shared" si="11"/>
        <v>1.0161054022334051</v>
      </c>
    </row>
    <row r="129" spans="2:24" x14ac:dyDescent="0.3">
      <c r="B129" s="19">
        <f>'Excess Power'!F128</f>
        <v>41.755804546790152</v>
      </c>
      <c r="C129" s="19">
        <f>'Excess Power'!H128</f>
        <v>308.34730053757642</v>
      </c>
      <c r="D129" s="34">
        <f t="shared" si="6"/>
        <v>7.4063553560860411</v>
      </c>
      <c r="F129" s="19">
        <f>'Excess Power'!J128</f>
        <v>27.378111371581497</v>
      </c>
      <c r="G129" s="19">
        <f>'Excess Power'!L128</f>
        <v>309.42202319434108</v>
      </c>
      <c r="H129" s="34">
        <f t="shared" si="7"/>
        <v>11.335194762507815</v>
      </c>
      <c r="J129" s="19">
        <f>'Excess Power'!N128</f>
        <v>41.465205339007099</v>
      </c>
      <c r="K129" s="19">
        <f>'Excess Power'!P128</f>
        <v>308.37597851858953</v>
      </c>
      <c r="L129" s="34">
        <f t="shared" si="8"/>
        <v>7.4589547268745937</v>
      </c>
      <c r="N129" s="19">
        <f>'Excess Power'!R128</f>
        <v>55.031841314017839</v>
      </c>
      <c r="O129" s="19">
        <f>'Excess Power'!T128</f>
        <v>306.65458546132663</v>
      </c>
      <c r="P129" s="34">
        <f t="shared" si="9"/>
        <v>5.5887755711814497</v>
      </c>
      <c r="R129" s="19">
        <f>'Excess Power'!V128</f>
        <v>65.597954846309278</v>
      </c>
      <c r="S129" s="19">
        <f>'Excess Power'!X128</f>
        <v>304.67890690704945</v>
      </c>
      <c r="T129" s="34">
        <f t="shared" si="10"/>
        <v>4.6583631349863692</v>
      </c>
      <c r="V129" s="19">
        <f>'Excess Power'!Z128</f>
        <v>194.17406816196561</v>
      </c>
      <c r="W129" s="19">
        <f>'Excess Power'!AB128</f>
        <v>194.11184080034297</v>
      </c>
      <c r="X129" s="34">
        <f t="shared" si="11"/>
        <v>1.002633126555607</v>
      </c>
    </row>
    <row r="130" spans="2:24" x14ac:dyDescent="0.3">
      <c r="B130" s="19">
        <f>'Excess Power'!F129</f>
        <v>42.280723391851716</v>
      </c>
      <c r="C130" s="19">
        <f>'Excess Power'!H129</f>
        <v>312.22227317052273</v>
      </c>
      <c r="D130" s="34">
        <f t="shared" si="6"/>
        <v>7.4063242761091308</v>
      </c>
      <c r="F130" s="19">
        <f>'Excess Power'!J129</f>
        <v>27.722285954184343</v>
      </c>
      <c r="G130" s="19">
        <f>'Excess Power'!L129</f>
        <v>313.33108355326118</v>
      </c>
      <c r="H130" s="34">
        <f t="shared" si="7"/>
        <v>11.335891816472227</v>
      </c>
      <c r="J130" s="19">
        <f>'Excess Power'!N129</f>
        <v>41.986471015313306</v>
      </c>
      <c r="K130" s="19">
        <f>'Excess Power'!P129</f>
        <v>312.25190576861945</v>
      </c>
      <c r="L130" s="34">
        <f t="shared" si="8"/>
        <v>7.4589376207221685</v>
      </c>
      <c r="N130" s="19">
        <f>'Excess Power'!R129</f>
        <v>55.723655324014835</v>
      </c>
      <c r="O130" s="19">
        <f>'Excess Power'!T129</f>
        <v>310.47133656086839</v>
      </c>
      <c r="P130" s="34">
        <f t="shared" si="9"/>
        <v>5.5880870776772964</v>
      </c>
      <c r="R130" s="19">
        <f>'Excess Power'!V129</f>
        <v>66.422597146225698</v>
      </c>
      <c r="S130" s="19">
        <f>'Excess Power'!X129</f>
        <v>308.4253192475739</v>
      </c>
      <c r="T130" s="34">
        <f t="shared" si="10"/>
        <v>4.6570984749608044</v>
      </c>
      <c r="V130" s="19">
        <f>'Excess Power'!Z129</f>
        <v>196.61506118573243</v>
      </c>
      <c r="W130" s="19">
        <f>'Excess Power'!AB129</f>
        <v>193.69794598225144</v>
      </c>
      <c r="X130" s="34">
        <f t="shared" si="11"/>
        <v>0.9880740274753963</v>
      </c>
    </row>
    <row r="131" spans="2:24" x14ac:dyDescent="0.3">
      <c r="B131" s="19">
        <f>'Excess Power'!F130</f>
        <v>42.688993604677378</v>
      </c>
      <c r="C131" s="19">
        <f>'Excess Power'!H130</f>
        <v>314.7986990084043</v>
      </c>
      <c r="D131" s="34">
        <f t="shared" si="6"/>
        <v>7.3960231763126503</v>
      </c>
      <c r="F131" s="19">
        <f>'Excess Power'!J130</f>
        <v>27.989977296208778</v>
      </c>
      <c r="G131" s="19">
        <f>'Excess Power'!L130</f>
        <v>315.93455474566167</v>
      </c>
      <c r="H131" s="34">
        <f t="shared" si="7"/>
        <v>11.32076651563554</v>
      </c>
      <c r="J131" s="19">
        <f>'Excess Power'!N130</f>
        <v>42.391899874662585</v>
      </c>
      <c r="K131" s="19">
        <f>'Excess Power'!P130</f>
        <v>314.82908946585849</v>
      </c>
      <c r="L131" s="34">
        <f t="shared" si="8"/>
        <v>7.4485754885882383</v>
      </c>
      <c r="N131" s="19">
        <f>'Excess Power'!R130</f>
        <v>56.261732887345829</v>
      </c>
      <c r="O131" s="19">
        <f>'Excess Power'!T130</f>
        <v>313.00152266916666</v>
      </c>
      <c r="P131" s="34">
        <f t="shared" si="9"/>
        <v>5.5797481482452129</v>
      </c>
      <c r="R131" s="19">
        <f>'Excess Power'!V130</f>
        <v>67.06398560171624</v>
      </c>
      <c r="S131" s="19">
        <f>'Excess Power'!X130</f>
        <v>310.8996195250661</v>
      </c>
      <c r="T131" s="34">
        <f t="shared" si="10"/>
        <v>4.6495624109577829</v>
      </c>
      <c r="V131" s="19">
        <f>'Excess Power'!Z130</f>
        <v>198.51361131532886</v>
      </c>
      <c r="W131" s="19">
        <f>'Excess Power'!AB130</f>
        <v>192.864736217813</v>
      </c>
      <c r="X131" s="34">
        <f t="shared" si="11"/>
        <v>0.97441461351628134</v>
      </c>
    </row>
    <row r="132" spans="2:24" x14ac:dyDescent="0.3">
      <c r="B132" s="19">
        <f>'Excess Power'!F131</f>
        <v>43.097263817503048</v>
      </c>
      <c r="C132" s="19">
        <f>'Excess Power'!H131</f>
        <v>318.68396893095877</v>
      </c>
      <c r="D132" s="34">
        <f t="shared" si="6"/>
        <v>7.4163765142090305</v>
      </c>
      <c r="F132" s="19">
        <f>'Excess Power'!J131</f>
        <v>28.257668638233216</v>
      </c>
      <c r="G132" s="19">
        <f>'Excess Power'!L131</f>
        <v>319.84734105051166</v>
      </c>
      <c r="H132" s="34">
        <f t="shared" si="7"/>
        <v>11.352399543822315</v>
      </c>
      <c r="J132" s="19">
        <f>'Excess Power'!N131</f>
        <v>42.797328734011856</v>
      </c>
      <c r="K132" s="19">
        <f>'Excess Power'!P131</f>
        <v>318.715130847198</v>
      </c>
      <c r="L132" s="34">
        <f t="shared" si="8"/>
        <v>7.4690827358647756</v>
      </c>
      <c r="N132" s="19">
        <f>'Excess Power'!R131</f>
        <v>56.799810450676837</v>
      </c>
      <c r="O132" s="19">
        <f>'Excess Power'!T131</f>
        <v>316.83970722903678</v>
      </c>
      <c r="P132" s="34">
        <f t="shared" si="9"/>
        <v>5.5946634684951349</v>
      </c>
      <c r="R132" s="19">
        <f>'Excess Power'!V131</f>
        <v>67.705374057206782</v>
      </c>
      <c r="S132" s="19">
        <f>'Excess Power'!X131</f>
        <v>314.68087667520024</v>
      </c>
      <c r="T132" s="34">
        <f t="shared" si="10"/>
        <v>4.6615297533448707</v>
      </c>
      <c r="V132" s="19">
        <f>'Excess Power'!Z131</f>
        <v>200.41216144492526</v>
      </c>
      <c r="W132" s="19">
        <f>'Excess Power'!AB131</f>
        <v>193.27506793367837</v>
      </c>
      <c r="X132" s="34">
        <f t="shared" si="11"/>
        <v>0.96723725002281924</v>
      </c>
    </row>
    <row r="133" spans="2:24" x14ac:dyDescent="0.3">
      <c r="B133" s="19">
        <f>'Excess Power'!F132</f>
        <v>43.505534030328711</v>
      </c>
      <c r="C133" s="19">
        <f>'Excess Power'!H132</f>
        <v>320.60387666512457</v>
      </c>
      <c r="D133" s="34">
        <f t="shared" si="6"/>
        <v>7.3910393828857366</v>
      </c>
      <c r="F133" s="19">
        <f>'Excess Power'!J132</f>
        <v>28.525359980257655</v>
      </c>
      <c r="G133" s="19">
        <f>'Excess Power'!L132</f>
        <v>321.79524069957841</v>
      </c>
      <c r="H133" s="34">
        <f t="shared" si="7"/>
        <v>11.314353248781211</v>
      </c>
      <c r="J133" s="19">
        <f>'Excess Power'!N132</f>
        <v>43.202757593361127</v>
      </c>
      <c r="K133" s="19">
        <f>'Excess Power'!P132</f>
        <v>320.63582376963899</v>
      </c>
      <c r="L133" s="34">
        <f t="shared" si="8"/>
        <v>7.4435794101888311</v>
      </c>
      <c r="N133" s="19">
        <f>'Excess Power'!R132</f>
        <v>57.337888014007838</v>
      </c>
      <c r="O133" s="19">
        <f>'Excess Power'!T132</f>
        <v>318.71167587992727</v>
      </c>
      <c r="P133" s="34">
        <f t="shared" si="9"/>
        <v>5.5749057923988499</v>
      </c>
      <c r="R133" s="19">
        <f>'Excess Power'!V132</f>
        <v>68.346762512697353</v>
      </c>
      <c r="S133" s="19">
        <f>'Excess Power'!X132</f>
        <v>316.49486637594248</v>
      </c>
      <c r="T133" s="34">
        <f t="shared" si="10"/>
        <v>4.6444038192124886</v>
      </c>
      <c r="V133" s="19">
        <f>'Excess Power'!Z132</f>
        <v>202.31071157452169</v>
      </c>
      <c r="W133" s="19">
        <f>'Excess Power'!AB132</f>
        <v>191.65411031387833</v>
      </c>
      <c r="X133" s="34">
        <f t="shared" si="11"/>
        <v>0.95012448722244902</v>
      </c>
    </row>
    <row r="134" spans="2:24" x14ac:dyDescent="0.3">
      <c r="B134" s="19">
        <f>'Excess Power'!F133</f>
        <v>44.030452875390289</v>
      </c>
      <c r="C134" s="19">
        <f>'Excess Power'!H133</f>
        <v>325.12951778783327</v>
      </c>
      <c r="D134" s="34">
        <f t="shared" si="6"/>
        <v>7.4060134845674446</v>
      </c>
      <c r="F134" s="19">
        <f>'Excess Power'!J133</f>
        <v>28.869534562860501</v>
      </c>
      <c r="G134" s="19">
        <f>'Excess Power'!L133</f>
        <v>326.35757741870106</v>
      </c>
      <c r="H134" s="34">
        <f t="shared" si="7"/>
        <v>11.337966499006408</v>
      </c>
      <c r="J134" s="19">
        <f>'Excess Power'!N133</f>
        <v>43.724023269667342</v>
      </c>
      <c r="K134" s="19">
        <f>'Excess Power'!P133</f>
        <v>325.16249480338848</v>
      </c>
      <c r="L134" s="34">
        <f t="shared" si="8"/>
        <v>7.4586732369763391</v>
      </c>
      <c r="N134" s="19">
        <f>'Excess Power'!R133</f>
        <v>58.029702024004834</v>
      </c>
      <c r="O134" s="19">
        <f>'Excess Power'!T133</f>
        <v>323.17441357640649</v>
      </c>
      <c r="P134" s="34">
        <f t="shared" si="9"/>
        <v>5.5855748998501369</v>
      </c>
      <c r="R134" s="19">
        <f>'Excess Power'!V133</f>
        <v>69.171404812613773</v>
      </c>
      <c r="S134" s="19">
        <f>'Excess Power'!X133</f>
        <v>320.88149855603308</v>
      </c>
      <c r="T134" s="34">
        <f t="shared" si="10"/>
        <v>4.6526387370746614</v>
      </c>
      <c r="V134" s="19">
        <f>'Excess Power'!Z133</f>
        <v>204.75170459828848</v>
      </c>
      <c r="W134" s="19">
        <f>'Excess Power'!AB133</f>
        <v>191.52933262897398</v>
      </c>
      <c r="X134" s="34">
        <f t="shared" si="11"/>
        <v>0.93818615637405911</v>
      </c>
    </row>
    <row r="135" spans="2:24" x14ac:dyDescent="0.3">
      <c r="B135" s="19">
        <f>'Excess Power'!F134</f>
        <v>44.613696036569799</v>
      </c>
      <c r="C135" s="19">
        <f>'Excess Power'!H134</f>
        <v>328.99329571140873</v>
      </c>
      <c r="D135" s="34">
        <f t="shared" si="6"/>
        <v>7.3960543660708273</v>
      </c>
      <c r="F135" s="19">
        <f>'Excess Power'!J134</f>
        <v>29.25195076575255</v>
      </c>
      <c r="G135" s="19">
        <f>'Excess Power'!L134</f>
        <v>330.26307055713846</v>
      </c>
      <c r="H135" s="34">
        <f t="shared" si="7"/>
        <v>11.323649846931353</v>
      </c>
      <c r="J135" s="19">
        <f>'Excess Power'!N134</f>
        <v>44.303207354452013</v>
      </c>
      <c r="K135" s="19">
        <f>'Excess Power'!P134</f>
        <v>329.02744427934255</v>
      </c>
      <c r="L135" s="34">
        <f t="shared" si="8"/>
        <v>7.448660955381083</v>
      </c>
      <c r="N135" s="19">
        <f>'Excess Power'!R134</f>
        <v>58.798384257334831</v>
      </c>
      <c r="O135" s="19">
        <f>'Excess Power'!T134</f>
        <v>326.96660704533315</v>
      </c>
      <c r="P135" s="34">
        <f t="shared" si="9"/>
        <v>5.5772390498478526</v>
      </c>
      <c r="R135" s="19">
        <f>'Excess Power'!V134</f>
        <v>70.087674034743131</v>
      </c>
      <c r="S135" s="19">
        <f>'Excess Power'!X134</f>
        <v>324.58704657543615</v>
      </c>
      <c r="T135" s="34">
        <f t="shared" si="10"/>
        <v>4.6448403123939261</v>
      </c>
      <c r="V135" s="19">
        <f>'Excess Power'!Z134</f>
        <v>207.4639190691405</v>
      </c>
      <c r="W135" s="19">
        <f>'Excess Power'!AB134</f>
        <v>190.09533529233994</v>
      </c>
      <c r="X135" s="34">
        <f t="shared" si="11"/>
        <v>0.91898861959519274</v>
      </c>
    </row>
    <row r="136" spans="2:24" x14ac:dyDescent="0.3">
      <c r="B136" s="19">
        <f>'Excess Power'!F135</f>
        <v>45.021966249395469</v>
      </c>
      <c r="C136" s="19">
        <f>'Excess Power'!H135</f>
        <v>332.22018896740678</v>
      </c>
      <c r="D136" s="34">
        <f t="shared" si="6"/>
        <v>7.4008706499153112</v>
      </c>
      <c r="F136" s="19">
        <f>'Excess Power'!J135</f>
        <v>29.519642107776985</v>
      </c>
      <c r="G136" s="19">
        <f>'Excess Power'!L135</f>
        <v>333.51976143223686</v>
      </c>
      <c r="H136" s="34">
        <f t="shared" si="7"/>
        <v>11.331613015702917</v>
      </c>
      <c r="J136" s="19">
        <f>'Excess Power'!N135</f>
        <v>44.708636213801284</v>
      </c>
      <c r="K136" s="19">
        <f>'Excess Power'!P135</f>
        <v>332.25517485757638</v>
      </c>
      <c r="L136" s="34">
        <f t="shared" si="8"/>
        <v>7.4535227663986054</v>
      </c>
      <c r="N136" s="19">
        <f>'Excess Power'!R135</f>
        <v>59.336461820665825</v>
      </c>
      <c r="O136" s="19">
        <f>'Excess Power'!T135</f>
        <v>330.14231944906118</v>
      </c>
      <c r="P136" s="34">
        <f t="shared" si="9"/>
        <v>5.5803418299373568</v>
      </c>
      <c r="R136" s="19">
        <f>'Excess Power'!V135</f>
        <v>70.729062490233673</v>
      </c>
      <c r="S136" s="19">
        <f>'Excess Power'!X135</f>
        <v>327.70078709369159</v>
      </c>
      <c r="T136" s="34">
        <f t="shared" si="10"/>
        <v>4.6468733274957961</v>
      </c>
      <c r="V136" s="19">
        <f>'Excess Power'!Z135</f>
        <v>209.3624691987369</v>
      </c>
      <c r="W136" s="19">
        <f>'Excess Power'!AB135</f>
        <v>189.53102299617493</v>
      </c>
      <c r="X136" s="34">
        <f t="shared" si="11"/>
        <v>0.90795165793645705</v>
      </c>
    </row>
    <row r="137" spans="2:24" x14ac:dyDescent="0.3">
      <c r="B137" s="19">
        <f>'Excess Power'!F136</f>
        <v>45.430236462221131</v>
      </c>
      <c r="C137" s="19">
        <f>'Excess Power'!H136</f>
        <v>335.44729046201087</v>
      </c>
      <c r="D137" s="34">
        <f t="shared" si="6"/>
        <v>7.405604965518072</v>
      </c>
      <c r="F137" s="19">
        <f>'Excess Power'!J136</f>
        <v>29.787333449801427</v>
      </c>
      <c r="G137" s="19">
        <f>'Excess Power'!L136</f>
        <v>336.77715731559715</v>
      </c>
      <c r="H137" s="34">
        <f t="shared" si="7"/>
        <v>11.339456796432055</v>
      </c>
      <c r="J137" s="19">
        <f>'Excess Power'!N136</f>
        <v>45.114065073150563</v>
      </c>
      <c r="K137" s="19">
        <f>'Excess Power'!P136</f>
        <v>335.48312801705868</v>
      </c>
      <c r="L137" s="34">
        <f t="shared" si="8"/>
        <v>7.4583021419692317</v>
      </c>
      <c r="N137" s="19">
        <f>'Excess Power'!R136</f>
        <v>59.874539383996826</v>
      </c>
      <c r="O137" s="19">
        <f>'Excess Power'!T136</f>
        <v>333.31734824406607</v>
      </c>
      <c r="P137" s="34">
        <f t="shared" si="9"/>
        <v>5.5833773911184945</v>
      </c>
      <c r="R137" s="19">
        <f>'Excess Power'!V136</f>
        <v>71.37045094572423</v>
      </c>
      <c r="S137" s="19">
        <f>'Excess Power'!X136</f>
        <v>330.81274550153819</v>
      </c>
      <c r="T137" s="34">
        <f t="shared" si="10"/>
        <v>4.648844758559604</v>
      </c>
      <c r="V137" s="19">
        <f>'Excess Power'!Z136</f>
        <v>211.26101932833333</v>
      </c>
      <c r="W137" s="19">
        <f>'Excess Power'!AB136</f>
        <v>188.89804751763248</v>
      </c>
      <c r="X137" s="34">
        <f t="shared" si="11"/>
        <v>0.8967870929887598</v>
      </c>
    </row>
    <row r="138" spans="2:24" x14ac:dyDescent="0.3">
      <c r="B138" s="19">
        <f>'Excess Power'!F137</f>
        <v>45.896830991164748</v>
      </c>
      <c r="C138" s="19">
        <f>'Excess Power'!H137</f>
        <v>338.66603706828562</v>
      </c>
      <c r="D138" s="34">
        <f t="shared" si="6"/>
        <v>7.400655642959344</v>
      </c>
      <c r="F138" s="19">
        <f>'Excess Power'!J137</f>
        <v>30.093266412115071</v>
      </c>
      <c r="G138" s="19">
        <f>'Excess Power'!L137</f>
        <v>340.03114014861404</v>
      </c>
      <c r="H138" s="34">
        <f t="shared" si="7"/>
        <v>11.332627470138917</v>
      </c>
      <c r="J138" s="19">
        <f>'Excess Power'!N137</f>
        <v>45.577412340978299</v>
      </c>
      <c r="K138" s="19">
        <f>'Excess Power'!P137</f>
        <v>338.70286568388616</v>
      </c>
      <c r="L138" s="34">
        <f t="shared" si="8"/>
        <v>7.4533318424203117</v>
      </c>
      <c r="N138" s="19">
        <f>'Excess Power'!R137</f>
        <v>60.489485170660828</v>
      </c>
      <c r="O138" s="19">
        <f>'Excess Power'!T137</f>
        <v>336.47548076107915</v>
      </c>
      <c r="P138" s="34">
        <f t="shared" si="9"/>
        <v>5.5789797501369778</v>
      </c>
      <c r="R138" s="19">
        <f>'Excess Power'!V137</f>
        <v>72.10346632342771</v>
      </c>
      <c r="S138" s="19">
        <f>'Excess Power'!X137</f>
        <v>333.89743969340213</v>
      </c>
      <c r="T138" s="34">
        <f t="shared" si="10"/>
        <v>4.6444917551394171</v>
      </c>
      <c r="V138" s="19">
        <f>'Excess Power'!Z137</f>
        <v>213.43079090501496</v>
      </c>
      <c r="W138" s="19">
        <f>'Excess Power'!AB137</f>
        <v>187.6201440680303</v>
      </c>
      <c r="X138" s="34">
        <f t="shared" si="11"/>
        <v>0.88166508456416992</v>
      </c>
    </row>
    <row r="139" spans="2:24" x14ac:dyDescent="0.3">
      <c r="B139" s="19">
        <f>'Excess Power'!F138</f>
        <v>46.421749836226326</v>
      </c>
      <c r="C139" s="19">
        <f>'Excess Power'!H138</f>
        <v>342.53217555274193</v>
      </c>
      <c r="D139" s="34">
        <f t="shared" si="6"/>
        <v>7.4005009213798285</v>
      </c>
      <c r="F139" s="19">
        <f>'Excess Power'!J138</f>
        <v>30.43744099471791</v>
      </c>
      <c r="G139" s="19">
        <f>'Excess Power'!L138</f>
        <v>343.93771036283437</v>
      </c>
      <c r="H139" s="34">
        <f t="shared" si="7"/>
        <v>11.333209320109949</v>
      </c>
      <c r="J139" s="19">
        <f>'Excess Power'!N138</f>
        <v>46.09867801728452</v>
      </c>
      <c r="K139" s="19">
        <f>'Excess Power'!P138</f>
        <v>342.57014194834022</v>
      </c>
      <c r="L139" s="34">
        <f t="shared" si="8"/>
        <v>7.4531916267809635</v>
      </c>
      <c r="N139" s="19">
        <f>'Excess Power'!R138</f>
        <v>61.181299180657824</v>
      </c>
      <c r="O139" s="19">
        <f>'Excess Power'!T138</f>
        <v>340.27200836342371</v>
      </c>
      <c r="P139" s="34">
        <f t="shared" si="9"/>
        <v>5.5781319136638423</v>
      </c>
      <c r="R139" s="19">
        <f>'Excess Power'!V138</f>
        <v>72.92810862334413</v>
      </c>
      <c r="S139" s="19">
        <f>'Excess Power'!X138</f>
        <v>337.60960010569352</v>
      </c>
      <c r="T139" s="34">
        <f t="shared" si="10"/>
        <v>4.6430257058210511</v>
      </c>
      <c r="V139" s="19">
        <f>'Excess Power'!Z138</f>
        <v>215.87178392878175</v>
      </c>
      <c r="W139" s="19">
        <f>'Excess Power'!AB138</f>
        <v>186.31789166304466</v>
      </c>
      <c r="X139" s="34">
        <f t="shared" si="11"/>
        <v>0.86564521282970419</v>
      </c>
    </row>
    <row r="140" spans="2:24" x14ac:dyDescent="0.3">
      <c r="B140" s="19">
        <f>'Excess Power'!F139</f>
        <v>46.771695732934035</v>
      </c>
      <c r="C140" s="19">
        <f>'Excess Power'!H139</f>
        <v>345.10864698905215</v>
      </c>
      <c r="D140" s="34">
        <f t="shared" si="6"/>
        <v>7.4003792411061475</v>
      </c>
      <c r="F140" s="19">
        <f>'Excess Power'!J139</f>
        <v>30.666890716453143</v>
      </c>
      <c r="G140" s="19">
        <f>'Excess Power'!L139</f>
        <v>346.54160609597307</v>
      </c>
      <c r="H140" s="34">
        <f t="shared" si="7"/>
        <v>11.333574121898243</v>
      </c>
      <c r="J140" s="19">
        <f>'Excess Power'!N139</f>
        <v>46.446188468155313</v>
      </c>
      <c r="K140" s="19">
        <f>'Excess Power'!P139</f>
        <v>345.14738546892636</v>
      </c>
      <c r="L140" s="34">
        <f t="shared" si="8"/>
        <v>7.4530795857479841</v>
      </c>
      <c r="N140" s="19">
        <f>'Excess Power'!R139</f>
        <v>61.642508520655831</v>
      </c>
      <c r="O140" s="19">
        <f>'Excess Power'!T139</f>
        <v>342.80122909758518</v>
      </c>
      <c r="P140" s="34">
        <f t="shared" si="9"/>
        <v>5.5775480129206487</v>
      </c>
      <c r="R140" s="19">
        <f>'Excess Power'!V139</f>
        <v>73.477870156621748</v>
      </c>
      <c r="S140" s="19">
        <f>'Excess Power'!X139</f>
        <v>340.08153715970764</v>
      </c>
      <c r="T140" s="34">
        <f t="shared" si="10"/>
        <v>4.6420279029924947</v>
      </c>
      <c r="V140" s="19">
        <f>'Excess Power'!Z139</f>
        <v>217.49911261129293</v>
      </c>
      <c r="W140" s="19">
        <f>'Excess Power'!AB139</f>
        <v>185.38363535522063</v>
      </c>
      <c r="X140" s="34">
        <f t="shared" si="11"/>
        <v>0.85486031414158803</v>
      </c>
    </row>
    <row r="141" spans="2:24" x14ac:dyDescent="0.3">
      <c r="B141" s="19">
        <f>'Excess Power'!F140</f>
        <v>47.238290261877658</v>
      </c>
      <c r="C141" s="19">
        <f>'Excess Power'!H140</f>
        <v>348.97902024503338</v>
      </c>
      <c r="D141" s="34">
        <f t="shared" si="6"/>
        <v>7.4094573000559238</v>
      </c>
      <c r="F141" s="19">
        <f>'Excess Power'!J140</f>
        <v>30.972823678766794</v>
      </c>
      <c r="G141" s="19">
        <f>'Excess Power'!L140</f>
        <v>350.44913537259782</v>
      </c>
      <c r="H141" s="34">
        <f t="shared" si="7"/>
        <v>11.34815982288112</v>
      </c>
      <c r="J141" s="19">
        <f>'Excess Power'!N140</f>
        <v>46.909535735983063</v>
      </c>
      <c r="K141" s="19">
        <f>'Excess Power'!P140</f>
        <v>349.01880521339785</v>
      </c>
      <c r="L141" s="34">
        <f t="shared" si="8"/>
        <v>7.4622353780700044</v>
      </c>
      <c r="N141" s="19">
        <f>'Excess Power'!R140</f>
        <v>62.257454307319833</v>
      </c>
      <c r="O141" s="19">
        <f>'Excess Power'!T140</f>
        <v>346.60754167081092</v>
      </c>
      <c r="P141" s="34">
        <f t="shared" si="9"/>
        <v>5.5837748792547925</v>
      </c>
      <c r="R141" s="19">
        <f>'Excess Power'!V140</f>
        <v>74.210885534325243</v>
      </c>
      <c r="S141" s="19">
        <f>'Excess Power'!X140</f>
        <v>343.81016618706263</v>
      </c>
      <c r="T141" s="34">
        <f t="shared" si="10"/>
        <v>4.6465685790975035</v>
      </c>
      <c r="V141" s="19">
        <f>'Excess Power'!Z140</f>
        <v>219.66888418797458</v>
      </c>
      <c r="W141" s="19">
        <f>'Excess Power'!AB140</f>
        <v>184.49120112715096</v>
      </c>
      <c r="X141" s="34">
        <f t="shared" si="11"/>
        <v>0.84234182483717612</v>
      </c>
    </row>
    <row r="142" spans="2:24" x14ac:dyDescent="0.3">
      <c r="B142" s="19">
        <f>'Excess Power'!F141</f>
        <v>47.646560474703328</v>
      </c>
      <c r="C142" s="19">
        <f>'Excess Power'!H141</f>
        <v>351.54795700497397</v>
      </c>
      <c r="D142" s="34">
        <f t="shared" ref="D142:D202" si="12">C142*735.5/($C$3*B142/3.6)</f>
        <v>7.4000435269738771</v>
      </c>
      <c r="F142" s="19">
        <f>'Excess Power'!J141</f>
        <v>31.240515020791229</v>
      </c>
      <c r="G142" s="19">
        <f>'Excess Power'!L141</f>
        <v>353.05114187552158</v>
      </c>
      <c r="H142" s="34">
        <f t="shared" ref="H142:H202" si="13">G142*735.5/($C$3*F142/3.6)</f>
        <v>11.334456147291897</v>
      </c>
      <c r="J142" s="19">
        <f>'Excess Power'!N141</f>
        <v>47.314964595332334</v>
      </c>
      <c r="K142" s="19">
        <f>'Excess Power'!P141</f>
        <v>351.58867376773497</v>
      </c>
      <c r="L142" s="34">
        <f t="shared" ref="L142:L202" si="14">K142*735.5/($C$3*J142/3.6)</f>
        <v>7.4527680935953207</v>
      </c>
      <c r="N142" s="19">
        <f>'Excess Power'!R141</f>
        <v>62.795531870650819</v>
      </c>
      <c r="O142" s="19">
        <f>'Excess Power'!T141</f>
        <v>349.11942315577534</v>
      </c>
      <c r="P142" s="34">
        <f t="shared" ref="P142:P202" si="15">O142*735.5/($C$3*N142/3.6)</f>
        <v>5.5760481984898389</v>
      </c>
      <c r="R142" s="19">
        <f>'Excess Power'!V141</f>
        <v>74.852273989815799</v>
      </c>
      <c r="S142" s="19">
        <f>'Excess Power'!X141</f>
        <v>346.25284017230393</v>
      </c>
      <c r="T142" s="34">
        <f t="shared" ref="T142:T202" si="16">S142*735.5/($C$3*R142/3.6)</f>
        <v>4.6394830967274006</v>
      </c>
      <c r="V142" s="19">
        <f>'Excess Power'!Z141</f>
        <v>221.56743431757101</v>
      </c>
      <c r="W142" s="19">
        <f>'Excess Power'!AB141</f>
        <v>182.81528984930225</v>
      </c>
      <c r="X142" s="34">
        <f t="shared" ref="X142:X202" si="17">W142*735.5/($C$3*V142/3.6)</f>
        <v>0.82753779452149034</v>
      </c>
    </row>
    <row r="143" spans="2:24" x14ac:dyDescent="0.3">
      <c r="B143" s="19">
        <f>'Excess Power'!F142</f>
        <v>47.99650637141103</v>
      </c>
      <c r="C143" s="19">
        <f>'Excess Power'!H142</f>
        <v>354.77686321164623</v>
      </c>
      <c r="D143" s="34">
        <f t="shared" si="12"/>
        <v>7.413561829412072</v>
      </c>
      <c r="F143" s="19">
        <f>'Excess Power'!J142</f>
        <v>31.469964742526454</v>
      </c>
      <c r="G143" s="19">
        <f>'Excess Power'!L142</f>
        <v>356.30881184302461</v>
      </c>
      <c r="H143" s="34">
        <f t="shared" si="13"/>
        <v>11.355638474566033</v>
      </c>
      <c r="J143" s="19">
        <f>'Excess Power'!N142</f>
        <v>47.662475046203134</v>
      </c>
      <c r="K143" s="19">
        <f>'Excess Power'!P142</f>
        <v>354.81839073144221</v>
      </c>
      <c r="L143" s="34">
        <f t="shared" si="14"/>
        <v>7.4663919036935509</v>
      </c>
      <c r="N143" s="19">
        <f>'Excess Power'!R142</f>
        <v>63.256741210648819</v>
      </c>
      <c r="O143" s="19">
        <f>'Excess Power'!T142</f>
        <v>352.29867392929498</v>
      </c>
      <c r="P143" s="34">
        <f t="shared" si="15"/>
        <v>5.5858008113056732</v>
      </c>
      <c r="R143" s="19">
        <f>'Excess Power'!V142</f>
        <v>75.402035523093403</v>
      </c>
      <c r="S143" s="19">
        <f>'Excess Power'!X142</f>
        <v>349.37184532255594</v>
      </c>
      <c r="T143" s="34">
        <f t="shared" si="16"/>
        <v>4.6471435139543615</v>
      </c>
      <c r="V143" s="19">
        <f>'Excess Power'!Z142</f>
        <v>223.19476300008219</v>
      </c>
      <c r="W143" s="19">
        <f>'Excess Power'!AB142</f>
        <v>182.34776697497347</v>
      </c>
      <c r="X143" s="34">
        <f t="shared" si="17"/>
        <v>0.81940328385289463</v>
      </c>
    </row>
    <row r="144" spans="2:24" x14ac:dyDescent="0.3">
      <c r="B144" s="19">
        <f>'Excess Power'!F143</f>
        <v>48.346452268118739</v>
      </c>
      <c r="C144" s="19">
        <f>'Excess Power'!H143</f>
        <v>357.35092760720323</v>
      </c>
      <c r="D144" s="34">
        <f t="shared" si="12"/>
        <v>7.4132996394109369</v>
      </c>
      <c r="F144" s="19">
        <f>'Excess Power'!J143</f>
        <v>31.699414464261693</v>
      </c>
      <c r="G144" s="19">
        <f>'Excess Power'!L143</f>
        <v>358.91202908634841</v>
      </c>
      <c r="H144" s="34">
        <f t="shared" si="13"/>
        <v>11.35580757796976</v>
      </c>
      <c r="J144" s="19">
        <f>'Excess Power'!N143</f>
        <v>48.009985497073941</v>
      </c>
      <c r="K144" s="19">
        <f>'Excess Power'!P143</f>
        <v>357.39327711768084</v>
      </c>
      <c r="L144" s="34">
        <f t="shared" si="14"/>
        <v>7.4661387227854989</v>
      </c>
      <c r="N144" s="19">
        <f>'Excess Power'!R143</f>
        <v>63.717950550646812</v>
      </c>
      <c r="O144" s="19">
        <f>'Excess Power'!T143</f>
        <v>354.82238436645594</v>
      </c>
      <c r="P144" s="34">
        <f t="shared" si="15"/>
        <v>5.5850936848084851</v>
      </c>
      <c r="R144" s="19">
        <f>'Excess Power'!V143</f>
        <v>75.951797056371007</v>
      </c>
      <c r="S144" s="19">
        <f>'Excess Power'!X143</f>
        <v>351.8344497524663</v>
      </c>
      <c r="T144" s="34">
        <f t="shared" si="16"/>
        <v>4.6460251673154476</v>
      </c>
      <c r="V144" s="19">
        <f>'Excess Power'!Z143</f>
        <v>224.8220916825934</v>
      </c>
      <c r="W144" s="19">
        <f>'Excess Power'!AB143</f>
        <v>181.17145984385598</v>
      </c>
      <c r="X144" s="34">
        <f t="shared" si="17"/>
        <v>0.80822457347103949</v>
      </c>
    </row>
    <row r="145" spans="2:24" x14ac:dyDescent="0.3">
      <c r="B145" s="19">
        <f>'Excess Power'!F144</f>
        <v>48.696398164826455</v>
      </c>
      <c r="C145" s="19">
        <f>'Excess Power'!H144</f>
        <v>359.92444624126222</v>
      </c>
      <c r="D145" s="34">
        <f t="shared" si="12"/>
        <v>7.413029977207362</v>
      </c>
      <c r="F145" s="19">
        <f>'Excess Power'!J144</f>
        <v>31.928864185996922</v>
      </c>
      <c r="G145" s="19">
        <f>'Excess Power'!L144</f>
        <v>361.51509249197039</v>
      </c>
      <c r="H145" s="34">
        <f t="shared" si="13"/>
        <v>11.355969418550774</v>
      </c>
      <c r="J145" s="19">
        <f>'Excess Power'!N144</f>
        <v>48.357495947944749</v>
      </c>
      <c r="K145" s="19">
        <f>'Excess Power'!P144</f>
        <v>359.9676290579734</v>
      </c>
      <c r="L145" s="34">
        <f t="shared" si="14"/>
        <v>7.4658780961038236</v>
      </c>
      <c r="N145" s="19">
        <f>'Excess Power'!R144</f>
        <v>64.179159890644826</v>
      </c>
      <c r="O145" s="19">
        <f>'Excess Power'!T144</f>
        <v>357.34484542387895</v>
      </c>
      <c r="P145" s="34">
        <f t="shared" si="15"/>
        <v>5.5843771969485392</v>
      </c>
      <c r="R145" s="19">
        <f>'Excess Power'!V144</f>
        <v>76.501558589648624</v>
      </c>
      <c r="S145" s="19">
        <f>'Excess Power'!X144</f>
        <v>354.2949381455357</v>
      </c>
      <c r="T145" s="34">
        <f t="shared" si="16"/>
        <v>4.6448951524065176</v>
      </c>
      <c r="V145" s="19">
        <f>'Excess Power'!Z144</f>
        <v>226.44942036510463</v>
      </c>
      <c r="W145" s="19">
        <f>'Excess Power'!AB144</f>
        <v>179.94027120740944</v>
      </c>
      <c r="X145" s="34">
        <f t="shared" si="17"/>
        <v>0.79696345712353744</v>
      </c>
    </row>
    <row r="146" spans="2:24" x14ac:dyDescent="0.3">
      <c r="B146" s="19">
        <f>'Excess Power'!F145</f>
        <v>49.104668377652118</v>
      </c>
      <c r="C146" s="19">
        <f>'Excess Power'!H145</f>
        <v>362.48983959554567</v>
      </c>
      <c r="D146" s="34">
        <f t="shared" si="12"/>
        <v>7.4037936578123951</v>
      </c>
      <c r="F146" s="19">
        <f>'Excess Power'!J145</f>
        <v>32.196555528021356</v>
      </c>
      <c r="G146" s="19">
        <f>'Excess Power'!L145</f>
        <v>364.11545387921109</v>
      </c>
      <c r="H146" s="34">
        <f t="shared" si="13"/>
        <v>11.342556480011218</v>
      </c>
      <c r="J146" s="19">
        <f>'Excess Power'!N145</f>
        <v>48.76292480729402</v>
      </c>
      <c r="K146" s="19">
        <f>'Excess Power'!P145</f>
        <v>362.5340090137334</v>
      </c>
      <c r="L146" s="34">
        <f t="shared" si="14"/>
        <v>7.456589891995046</v>
      </c>
      <c r="N146" s="19">
        <f>'Excess Power'!R145</f>
        <v>64.717237453975827</v>
      </c>
      <c r="O146" s="19">
        <f>'Excess Power'!T145</f>
        <v>359.84977551555289</v>
      </c>
      <c r="P146" s="34">
        <f t="shared" si="15"/>
        <v>5.5767672143111442</v>
      </c>
      <c r="R146" s="19">
        <f>'Excess Power'!V145</f>
        <v>77.142947045139195</v>
      </c>
      <c r="S146" s="19">
        <f>'Excess Power'!X145</f>
        <v>356.72646306818058</v>
      </c>
      <c r="T146" s="34">
        <f t="shared" si="16"/>
        <v>4.6378890270915392</v>
      </c>
      <c r="V146" s="19">
        <f>'Excess Power'!Z145</f>
        <v>228.34797049470106</v>
      </c>
      <c r="W146" s="19">
        <f>'Excess Power'!AB145</f>
        <v>177.9976403688583</v>
      </c>
      <c r="X146" s="34">
        <f t="shared" si="17"/>
        <v>0.78180481351058329</v>
      </c>
    </row>
    <row r="147" spans="2:24" x14ac:dyDescent="0.3">
      <c r="B147" s="19">
        <f>'Excess Power'!F146</f>
        <v>49.39628995824188</v>
      </c>
      <c r="C147" s="19">
        <f>'Excess Power'!H146</f>
        <v>365.7250304233545</v>
      </c>
      <c r="D147" s="34">
        <f t="shared" si="12"/>
        <v>7.4257718941987676</v>
      </c>
      <c r="F147" s="19">
        <f>'Excess Power'!J146</f>
        <v>32.387763629467386</v>
      </c>
      <c r="G147" s="19">
        <f>'Excess Power'!L146</f>
        <v>367.37595333601786</v>
      </c>
      <c r="H147" s="34">
        <f t="shared" si="13"/>
        <v>11.376561423148663</v>
      </c>
      <c r="J147" s="19">
        <f>'Excess Power'!N146</f>
        <v>49.052516849686356</v>
      </c>
      <c r="K147" s="19">
        <f>'Excess Power'!P146</f>
        <v>365.76991412681008</v>
      </c>
      <c r="L147" s="34">
        <f t="shared" si="14"/>
        <v>7.478731399005647</v>
      </c>
      <c r="N147" s="19">
        <f>'Excess Power'!R146</f>
        <v>65.101578570640825</v>
      </c>
      <c r="O147" s="19">
        <f>'Excess Power'!T146</f>
        <v>363.04118322599288</v>
      </c>
      <c r="P147" s="34">
        <f t="shared" si="15"/>
        <v>5.5930103831293607</v>
      </c>
      <c r="R147" s="19">
        <f>'Excess Power'!V146</f>
        <v>77.60108165620386</v>
      </c>
      <c r="S147" s="19">
        <f>'Excess Power'!X146</f>
        <v>359.86470555515365</v>
      </c>
      <c r="T147" s="34">
        <f t="shared" si="16"/>
        <v>4.6510684449505781</v>
      </c>
      <c r="V147" s="19">
        <f>'Excess Power'!Z146</f>
        <v>229.70407773012701</v>
      </c>
      <c r="W147" s="19">
        <f>'Excess Power'!AB146</f>
        <v>177.96686042436835</v>
      </c>
      <c r="X147" s="34">
        <f t="shared" si="17"/>
        <v>0.77705486714346006</v>
      </c>
    </row>
    <row r="148" spans="2:24" x14ac:dyDescent="0.3">
      <c r="B148" s="19">
        <f>'Excess Power'!F147</f>
        <v>49.862884487185504</v>
      </c>
      <c r="C148" s="19">
        <f>'Excess Power'!H147</f>
        <v>368.28134935634085</v>
      </c>
      <c r="D148" s="34">
        <f t="shared" si="12"/>
        <v>7.4077032875625459</v>
      </c>
      <c r="F148" s="19">
        <f>'Excess Power'!J147</f>
        <v>32.693696591781034</v>
      </c>
      <c r="G148" s="19">
        <f>'Excess Power'!L147</f>
        <v>369.97334516355943</v>
      </c>
      <c r="H148" s="34">
        <f t="shared" si="13"/>
        <v>11.349785644065069</v>
      </c>
      <c r="J148" s="19">
        <f>'Excess Power'!N147</f>
        <v>49.515864117514099</v>
      </c>
      <c r="K148" s="19">
        <f>'Excess Power'!P147</f>
        <v>368.32739263555203</v>
      </c>
      <c r="L148" s="34">
        <f t="shared" si="14"/>
        <v>7.4605510626357656</v>
      </c>
      <c r="N148" s="19">
        <f>'Excess Power'!R147</f>
        <v>65.71652435730482</v>
      </c>
      <c r="O148" s="19">
        <f>'Excess Power'!T147</f>
        <v>365.52640953798772</v>
      </c>
      <c r="P148" s="34">
        <f t="shared" si="15"/>
        <v>5.5786026043699888</v>
      </c>
      <c r="R148" s="19">
        <f>'Excess Power'!V147</f>
        <v>78.334097033907355</v>
      </c>
      <c r="S148" s="19">
        <f>'Excess Power'!X147</f>
        <v>362.26358697784821</v>
      </c>
      <c r="T148" s="34">
        <f t="shared" si="16"/>
        <v>4.6382600294074985</v>
      </c>
      <c r="V148" s="19">
        <f>'Excess Power'!Z147</f>
        <v>231.87384930680867</v>
      </c>
      <c r="W148" s="19">
        <f>'Excess Power'!AB147</f>
        <v>175.21734218345932</v>
      </c>
      <c r="X148" s="34">
        <f t="shared" si="17"/>
        <v>0.75789068198388154</v>
      </c>
    </row>
    <row r="149" spans="2:24" x14ac:dyDescent="0.3">
      <c r="B149" s="19">
        <f>'Excess Power'!F148</f>
        <v>50.154506067775266</v>
      </c>
      <c r="C149" s="19">
        <f>'Excess Power'!H148</f>
        <v>370.86032862844729</v>
      </c>
      <c r="D149" s="34">
        <f t="shared" si="12"/>
        <v>7.4162040759415016</v>
      </c>
      <c r="F149" s="19">
        <f>'Excess Power'!J148</f>
        <v>32.88490469322705</v>
      </c>
      <c r="G149" s="19">
        <f>'Excess Power'!L148</f>
        <v>372.57835948591622</v>
      </c>
      <c r="H149" s="34">
        <f t="shared" si="13"/>
        <v>11.363242882116671</v>
      </c>
      <c r="J149" s="19">
        <f>'Excess Power'!N148</f>
        <v>49.805456159906441</v>
      </c>
      <c r="K149" s="19">
        <f>'Excess Power'!P148</f>
        <v>370.90710716602746</v>
      </c>
      <c r="L149" s="34">
        <f t="shared" si="14"/>
        <v>7.4691208103626821</v>
      </c>
      <c r="N149" s="19">
        <f>'Excess Power'!R148</f>
        <v>66.100865473969819</v>
      </c>
      <c r="O149" s="19">
        <f>'Excess Power'!T148</f>
        <v>368.06030155337942</v>
      </c>
      <c r="P149" s="34">
        <f t="shared" si="15"/>
        <v>5.5846129970824823</v>
      </c>
      <c r="R149" s="19">
        <f>'Excess Power'!V148</f>
        <v>78.792231644972034</v>
      </c>
      <c r="S149" s="19">
        <f>'Excess Power'!X148</f>
        <v>364.74270744184815</v>
      </c>
      <c r="T149" s="34">
        <f t="shared" si="16"/>
        <v>4.642848015760487</v>
      </c>
      <c r="V149" s="19">
        <f>'Excess Power'!Z148</f>
        <v>233.2299565422347</v>
      </c>
      <c r="W149" s="19">
        <f>'Excess Power'!AB148</f>
        <v>174.42964069965896</v>
      </c>
      <c r="X149" s="34">
        <f t="shared" si="17"/>
        <v>0.75009661535500927</v>
      </c>
    </row>
    <row r="150" spans="2:24" x14ac:dyDescent="0.3">
      <c r="B150" s="19">
        <f>'Excess Power'!F149</f>
        <v>50.562776280600929</v>
      </c>
      <c r="C150" s="19">
        <f>'Excess Power'!H149</f>
        <v>374.07729856353154</v>
      </c>
      <c r="D150" s="34">
        <f t="shared" si="12"/>
        <v>7.4201330414207254</v>
      </c>
      <c r="F150" s="19">
        <f>'Excess Power'!J149</f>
        <v>33.152596035251491</v>
      </c>
      <c r="G150" s="19">
        <f>'Excess Power'!L149</f>
        <v>375.83225320348373</v>
      </c>
      <c r="H150" s="34">
        <f t="shared" si="13"/>
        <v>11.369929108358534</v>
      </c>
      <c r="J150" s="19">
        <f>'Excess Power'!N149</f>
        <v>50.210885019255713</v>
      </c>
      <c r="K150" s="19">
        <f>'Excess Power'!P149</f>
        <v>374.12512016863002</v>
      </c>
      <c r="L150" s="34">
        <f t="shared" si="14"/>
        <v>7.4730905399886067</v>
      </c>
      <c r="N150" s="19">
        <f>'Excess Power'!R149</f>
        <v>66.63894303730082</v>
      </c>
      <c r="O150" s="19">
        <f>'Excess Power'!T149</f>
        <v>371.21329708146169</v>
      </c>
      <c r="P150" s="34">
        <f t="shared" si="15"/>
        <v>5.5869743226962916</v>
      </c>
      <c r="R150" s="19">
        <f>'Excess Power'!V149</f>
        <v>79.433620100462591</v>
      </c>
      <c r="S150" s="19">
        <f>'Excess Power'!X149</f>
        <v>367.81797307187287</v>
      </c>
      <c r="T150" s="34">
        <f t="shared" si="16"/>
        <v>4.6441885378728216</v>
      </c>
      <c r="V150" s="19">
        <f>'Excess Power'!Z149</f>
        <v>235.1285066718311</v>
      </c>
      <c r="W150" s="19">
        <f>'Excess Power'!AB149</f>
        <v>172.86744417834964</v>
      </c>
      <c r="X150" s="34">
        <f t="shared" si="17"/>
        <v>0.73737630266061116</v>
      </c>
    </row>
    <row r="151" spans="2:24" x14ac:dyDescent="0.3">
      <c r="B151" s="19">
        <f>'Excess Power'!F150</f>
        <v>51.029370809544538</v>
      </c>
      <c r="C151" s="19">
        <f>'Excess Power'!H150</f>
        <v>376.63109825115487</v>
      </c>
      <c r="D151" s="34">
        <f t="shared" si="12"/>
        <v>7.4024795124434499</v>
      </c>
      <c r="F151" s="19">
        <f>'Excess Power'!J150</f>
        <v>33.458528997565132</v>
      </c>
      <c r="G151" s="19">
        <f>'Excess Power'!L150</f>
        <v>378.42893491329352</v>
      </c>
      <c r="H151" s="34">
        <f t="shared" si="13"/>
        <v>11.343804756940473</v>
      </c>
      <c r="J151" s="19">
        <f>'Excess Power'!N150</f>
        <v>50.674232287083456</v>
      </c>
      <c r="K151" s="19">
        <f>'Excess Power'!P150</f>
        <v>376.68013166481018</v>
      </c>
      <c r="L151" s="34">
        <f t="shared" si="14"/>
        <v>7.4553285404569429</v>
      </c>
      <c r="N151" s="19">
        <f>'Excess Power'!R150</f>
        <v>67.253888823964814</v>
      </c>
      <c r="O151" s="19">
        <f>'Excess Power'!T150</f>
        <v>373.69275623303389</v>
      </c>
      <c r="P151" s="34">
        <f t="shared" si="15"/>
        <v>5.5728650791983068</v>
      </c>
      <c r="R151" s="19">
        <f>'Excess Power'!V150</f>
        <v>80.166635478166071</v>
      </c>
      <c r="S151" s="19">
        <f>'Excess Power'!X150</f>
        <v>370.20708682862039</v>
      </c>
      <c r="T151" s="34">
        <f t="shared" si="16"/>
        <v>4.6316136168066668</v>
      </c>
      <c r="V151" s="19">
        <f>'Excess Power'!Z150</f>
        <v>237.2982782485127</v>
      </c>
      <c r="W151" s="19">
        <f>'Excess Power'!AB150</f>
        <v>169.86459187428139</v>
      </c>
      <c r="X151" s="34">
        <f t="shared" si="17"/>
        <v>0.71794226991261179</v>
      </c>
    </row>
    <row r="152" spans="2:24" x14ac:dyDescent="0.3">
      <c r="B152" s="19">
        <f>'Excess Power'!F151</f>
        <v>51.320887490285173</v>
      </c>
      <c r="C152" s="19">
        <f>'Excess Power'!H151</f>
        <v>378.55420582223712</v>
      </c>
      <c r="D152" s="34">
        <f t="shared" si="12"/>
        <v>7.3980143367984184</v>
      </c>
      <c r="F152" s="19">
        <f>'Excess Power'!J151</f>
        <v>33.649668319118547</v>
      </c>
      <c r="G152" s="19">
        <f>'Excess Power'!L151</f>
        <v>380.37920694947229</v>
      </c>
      <c r="H152" s="34">
        <f t="shared" si="13"/>
        <v>11.337498218061542</v>
      </c>
      <c r="J152" s="19">
        <f>'Excess Power'!N151</f>
        <v>50.96372015967637</v>
      </c>
      <c r="K152" s="19">
        <f>'Excess Power'!P151</f>
        <v>378.60400710842652</v>
      </c>
      <c r="L152" s="34">
        <f t="shared" si="14"/>
        <v>7.4508416706429212</v>
      </c>
      <c r="N152" s="19">
        <f>'Excess Power'!R151</f>
        <v>67.638091688429569</v>
      </c>
      <c r="O152" s="19">
        <f>'Excess Power'!T151</f>
        <v>375.56874832156825</v>
      </c>
      <c r="P152" s="34">
        <f t="shared" si="15"/>
        <v>5.5690273610162651</v>
      </c>
      <c r="R152" s="19">
        <f>'Excess Power'!V151</f>
        <v>80.624605292608052</v>
      </c>
      <c r="S152" s="19">
        <f>'Excess Power'!X151</f>
        <v>372.02580889519373</v>
      </c>
      <c r="T152" s="34">
        <f t="shared" si="16"/>
        <v>4.6279293362574521</v>
      </c>
      <c r="V152" s="19">
        <f>'Excess Power'!Z151</f>
        <v>238.65389767558062</v>
      </c>
      <c r="W152" s="19">
        <f>'Excess Power'!AB151</f>
        <v>168.26435093025847</v>
      </c>
      <c r="X152" s="34">
        <f t="shared" si="17"/>
        <v>0.70713907146352628</v>
      </c>
    </row>
    <row r="153" spans="2:24" x14ac:dyDescent="0.3">
      <c r="B153" s="19">
        <f>'Excess Power'!F152</f>
        <v>51.729157703110843</v>
      </c>
      <c r="C153" s="19">
        <f>'Excess Power'!H152</f>
        <v>380.46033961562455</v>
      </c>
      <c r="D153" s="34">
        <f t="shared" si="12"/>
        <v>7.3765830321981705</v>
      </c>
      <c r="F153" s="19">
        <f>'Excess Power'!J152</f>
        <v>33.917359661142982</v>
      </c>
      <c r="G153" s="19">
        <f>'Excess Power'!L152</f>
        <v>382.32387034976585</v>
      </c>
      <c r="H153" s="34">
        <f t="shared" si="13"/>
        <v>11.305522229148364</v>
      </c>
      <c r="J153" s="19">
        <f>'Excess Power'!N152</f>
        <v>51.369149019025649</v>
      </c>
      <c r="K153" s="19">
        <f>'Excess Power'!P152</f>
        <v>380.51123033240049</v>
      </c>
      <c r="L153" s="34">
        <f t="shared" si="14"/>
        <v>7.4292737050605195</v>
      </c>
      <c r="N153" s="19">
        <f>'Excess Power'!R152</f>
        <v>68.17616925176057</v>
      </c>
      <c r="O153" s="19">
        <f>'Excess Power'!T152</f>
        <v>377.40802478182053</v>
      </c>
      <c r="P153" s="34">
        <f t="shared" si="15"/>
        <v>5.5521320440891992</v>
      </c>
      <c r="R153" s="19">
        <f>'Excess Power'!V152</f>
        <v>81.265993748098609</v>
      </c>
      <c r="S153" s="19">
        <f>'Excess Power'!X152</f>
        <v>373.78380451418025</v>
      </c>
      <c r="T153" s="34">
        <f t="shared" si="16"/>
        <v>4.6131001229965474</v>
      </c>
      <c r="V153" s="19">
        <f>'Excess Power'!Z152</f>
        <v>240.55244780517702</v>
      </c>
      <c r="W153" s="19">
        <f>'Excess Power'!AB152</f>
        <v>165.16868910992369</v>
      </c>
      <c r="X153" s="34">
        <f t="shared" si="17"/>
        <v>0.68865101569754827</v>
      </c>
    </row>
    <row r="154" spans="2:24" x14ac:dyDescent="0.3">
      <c r="B154" s="19">
        <f>'Excess Power'!F153</f>
        <v>52.19575223205446</v>
      </c>
      <c r="C154" s="19">
        <f>'Excess Power'!H153</f>
        <v>383.01156176813919</v>
      </c>
      <c r="D154" s="34">
        <f t="shared" si="12"/>
        <v>7.3596637735798272</v>
      </c>
      <c r="F154" s="19">
        <f>'Excess Power'!J153</f>
        <v>34.223292623456636</v>
      </c>
      <c r="G154" s="19">
        <f>'Excess Power'!L153</f>
        <v>384.91982551129587</v>
      </c>
      <c r="H154" s="34">
        <f t="shared" si="13"/>
        <v>11.280536121399413</v>
      </c>
      <c r="J154" s="19">
        <f>'Excess Power'!N153</f>
        <v>51.832496286853385</v>
      </c>
      <c r="K154" s="19">
        <f>'Excess Power'!P153</f>
        <v>383.06371773482437</v>
      </c>
      <c r="L154" s="34">
        <f t="shared" si="14"/>
        <v>7.4122514720230663</v>
      </c>
      <c r="N154" s="19">
        <f>'Excess Power'!R153</f>
        <v>68.791115038424564</v>
      </c>
      <c r="O154" s="19">
        <f>'Excess Power'!T153</f>
        <v>379.88158333367966</v>
      </c>
      <c r="P154" s="34">
        <f t="shared" si="15"/>
        <v>5.5385635270800142</v>
      </c>
      <c r="R154" s="19">
        <f>'Excess Power'!V153</f>
        <v>81.999009125802104</v>
      </c>
      <c r="S154" s="19">
        <f>'Excess Power'!X153</f>
        <v>376.16292460287252</v>
      </c>
      <c r="T154" s="34">
        <f t="shared" si="16"/>
        <v>4.60096187849192</v>
      </c>
      <c r="V154" s="19">
        <f>'Excess Power'!Z153</f>
        <v>242.72221938185871</v>
      </c>
      <c r="W154" s="19">
        <f>'Excess Power'!AB153</f>
        <v>161.9066411548134</v>
      </c>
      <c r="X154" s="34">
        <f t="shared" si="17"/>
        <v>0.66901580786070747</v>
      </c>
    </row>
    <row r="155" spans="2:24" x14ac:dyDescent="0.3">
      <c r="B155" s="19">
        <f>'Excess Power'!F154</f>
        <v>52.604022444880108</v>
      </c>
      <c r="C155" s="19">
        <f>'Excess Power'!H154</f>
        <v>384.91598470046074</v>
      </c>
      <c r="D155" s="34">
        <f t="shared" si="12"/>
        <v>7.3388539227766509</v>
      </c>
      <c r="F155" s="19">
        <f>'Excess Power'!J154</f>
        <v>34.490983965481064</v>
      </c>
      <c r="G155" s="19">
        <f>'Excess Power'!L154</f>
        <v>386.86400665892859</v>
      </c>
      <c r="H155" s="34">
        <f t="shared" si="13"/>
        <v>11.249520000347088</v>
      </c>
      <c r="J155" s="19">
        <f>'Excess Power'!N154</f>
        <v>52.237925146202656</v>
      </c>
      <c r="K155" s="19">
        <f>'Excess Power'!P154</f>
        <v>384.96926556988899</v>
      </c>
      <c r="L155" s="34">
        <f t="shared" si="14"/>
        <v>7.3913095453731978</v>
      </c>
      <c r="N155" s="19">
        <f>'Excess Power'!R154</f>
        <v>69.329192601755565</v>
      </c>
      <c r="O155" s="19">
        <f>'Excess Power'!T154</f>
        <v>381.71694322019431</v>
      </c>
      <c r="P155" s="34">
        <f t="shared" si="15"/>
        <v>5.5221289750028637</v>
      </c>
      <c r="R155" s="19">
        <f>'Excess Power'!V154</f>
        <v>82.640397581292646</v>
      </c>
      <c r="S155" s="19">
        <f>'Excess Power'!X154</f>
        <v>377.91428683885545</v>
      </c>
      <c r="T155" s="34">
        <f t="shared" si="16"/>
        <v>4.5865080864887373</v>
      </c>
      <c r="V155" s="19">
        <f>'Excess Power'!Z154</f>
        <v>244.62076951145505</v>
      </c>
      <c r="W155" s="19">
        <f>'Excess Power'!AB154</f>
        <v>158.63893599496475</v>
      </c>
      <c r="X155" s="34">
        <f t="shared" si="17"/>
        <v>0.65042572738195858</v>
      </c>
    </row>
    <row r="156" spans="2:24" x14ac:dyDescent="0.3">
      <c r="B156" s="19">
        <f>'Excess Power'!F155</f>
        <v>53.012292657705778</v>
      </c>
      <c r="C156" s="19">
        <f>'Excess Power'!H155</f>
        <v>386.8195993732831</v>
      </c>
      <c r="D156" s="34">
        <f t="shared" si="12"/>
        <v>7.318349311307272</v>
      </c>
      <c r="F156" s="19">
        <f>'Excess Power'!J155</f>
        <v>34.758675307505499</v>
      </c>
      <c r="G156" s="19">
        <f>'Excess Power'!L155</f>
        <v>388.80795997666797</v>
      </c>
      <c r="H156" s="34">
        <f t="shared" si="13"/>
        <v>11.218975041989131</v>
      </c>
      <c r="J156" s="19">
        <f>'Excess Power'!N155</f>
        <v>52.643354005551927</v>
      </c>
      <c r="K156" s="19">
        <f>'Excess Power'!P155</f>
        <v>386.87402190351168</v>
      </c>
      <c r="L156" s="34">
        <f t="shared" si="14"/>
        <v>7.370675104505823</v>
      </c>
      <c r="N156" s="19">
        <f>'Excess Power'!R155</f>
        <v>69.867270165086566</v>
      </c>
      <c r="O156" s="19">
        <f>'Excess Power'!T155</f>
        <v>383.55045280571687</v>
      </c>
      <c r="P156" s="34">
        <f t="shared" si="15"/>
        <v>5.5059210005441646</v>
      </c>
      <c r="R156" s="19">
        <f>'Excess Power'!V155</f>
        <v>83.281786036783203</v>
      </c>
      <c r="S156" s="19">
        <f>'Excess Power'!X155</f>
        <v>379.66251527576435</v>
      </c>
      <c r="T156" s="34">
        <f t="shared" si="16"/>
        <v>4.5722391840438199</v>
      </c>
      <c r="V156" s="19">
        <f>'Excess Power'!Z155</f>
        <v>246.51931964105151</v>
      </c>
      <c r="W156" s="19">
        <f>'Excess Power'!AB155</f>
        <v>155.2899526611053</v>
      </c>
      <c r="X156" s="34">
        <f t="shared" si="17"/>
        <v>0.6317913099535456</v>
      </c>
    </row>
    <row r="157" spans="2:24" x14ac:dyDescent="0.3">
      <c r="B157" s="19">
        <f>'Excess Power'!F156</f>
        <v>53.420562870531448</v>
      </c>
      <c r="C157" s="19">
        <f>'Excess Power'!H156</f>
        <v>389.37669951354479</v>
      </c>
      <c r="D157" s="34">
        <f t="shared" si="12"/>
        <v>7.3104271030926586</v>
      </c>
      <c r="F157" s="19">
        <f>'Excess Power'!J156</f>
        <v>35.026366649529933</v>
      </c>
      <c r="G157" s="19">
        <f>'Excess Power'!L156</f>
        <v>391.4059836962814</v>
      </c>
      <c r="H157" s="34">
        <f t="shared" si="13"/>
        <v>11.207625797851961</v>
      </c>
      <c r="J157" s="19">
        <f>'Excess Power'!N156</f>
        <v>53.048782864901199</v>
      </c>
      <c r="K157" s="19">
        <f>'Excess Power'!P156</f>
        <v>389.43228059269336</v>
      </c>
      <c r="L157" s="34">
        <f t="shared" si="14"/>
        <v>7.3627113549780248</v>
      </c>
      <c r="N157" s="19">
        <f>'Excess Power'!R156</f>
        <v>70.405347728417567</v>
      </c>
      <c r="O157" s="19">
        <f>'Excess Power'!T156</f>
        <v>386.03639772969592</v>
      </c>
      <c r="P157" s="34">
        <f t="shared" si="15"/>
        <v>5.499254989939093</v>
      </c>
      <c r="R157" s="19">
        <f>'Excess Power'!V156</f>
        <v>83.923174492273745</v>
      </c>
      <c r="S157" s="19">
        <f>'Excess Power'!X156</f>
        <v>382.06188559156556</v>
      </c>
      <c r="T157" s="34">
        <f t="shared" si="16"/>
        <v>4.5659700924954052</v>
      </c>
      <c r="V157" s="19">
        <f>'Excess Power'!Z156</f>
        <v>248.41786977064785</v>
      </c>
      <c r="W157" s="19">
        <f>'Excess Power'!AB156</f>
        <v>152.51336033726656</v>
      </c>
      <c r="X157" s="34">
        <f t="shared" si="17"/>
        <v>0.61575267565909275</v>
      </c>
    </row>
    <row r="158" spans="2:24" x14ac:dyDescent="0.3">
      <c r="B158" s="19">
        <f>'Excess Power'!F157</f>
        <v>53.828833083357111</v>
      </c>
      <c r="C158" s="19">
        <f>'Excess Power'!H157</f>
        <v>391.27777884818403</v>
      </c>
      <c r="D158" s="34">
        <f t="shared" si="12"/>
        <v>7.2904018971289561</v>
      </c>
      <c r="F158" s="19">
        <f>'Excess Power'!J157</f>
        <v>35.294057991554382</v>
      </c>
      <c r="G158" s="19">
        <f>'Excess Power'!L157</f>
        <v>393.34857604953589</v>
      </c>
      <c r="H158" s="34">
        <f t="shared" si="13"/>
        <v>11.177823258276469</v>
      </c>
      <c r="J158" s="19">
        <f>'Excess Power'!N157</f>
        <v>53.454211724250477</v>
      </c>
      <c r="K158" s="19">
        <f>'Excess Power'!P157</f>
        <v>391.33453549443493</v>
      </c>
      <c r="L158" s="34">
        <f t="shared" si="14"/>
        <v>7.3425598939180707</v>
      </c>
      <c r="N158" s="19">
        <f>'Excess Power'!R157</f>
        <v>70.943425291748568</v>
      </c>
      <c r="O158" s="19">
        <f>'Excess Power'!T157</f>
        <v>387.86526363157969</v>
      </c>
      <c r="P158" s="34">
        <f t="shared" si="15"/>
        <v>5.4834007180150124</v>
      </c>
      <c r="R158" s="19">
        <f>'Excess Power'!V157</f>
        <v>84.564562947764287</v>
      </c>
      <c r="S158" s="19">
        <f>'Excess Power'!X157</f>
        <v>383.80287346422523</v>
      </c>
      <c r="T158" s="34">
        <f t="shared" si="16"/>
        <v>4.5519875356919517</v>
      </c>
      <c r="V158" s="19">
        <f>'Excess Power'!Z157</f>
        <v>250.31641990024431</v>
      </c>
      <c r="W158" s="19">
        <f>'Excess Power'!AB157</f>
        <v>148.99902820747874</v>
      </c>
      <c r="X158" s="34">
        <f t="shared" si="17"/>
        <v>0.59700139794486973</v>
      </c>
    </row>
    <row r="159" spans="2:24" x14ac:dyDescent="0.3">
      <c r="B159" s="19">
        <f>'Excess Power'!F158</f>
        <v>54.178778980064827</v>
      </c>
      <c r="C159" s="19">
        <f>'Excess Power'!H158</f>
        <v>393.18793165708468</v>
      </c>
      <c r="D159" s="34">
        <f t="shared" si="12"/>
        <v>7.2786731391352664</v>
      </c>
      <c r="F159" s="19">
        <f>'Excess Power'!J158</f>
        <v>35.523507713289611</v>
      </c>
      <c r="G159" s="19">
        <f>'Excess Power'!L158</f>
        <v>395.29478400609645</v>
      </c>
      <c r="H159" s="34">
        <f t="shared" si="13"/>
        <v>11.160572982072587</v>
      </c>
      <c r="J159" s="19">
        <f>'Excess Power'!N158</f>
        <v>53.801722175121292</v>
      </c>
      <c r="K159" s="19">
        <f>'Excess Power'!P158</f>
        <v>393.24570957595404</v>
      </c>
      <c r="L159" s="34">
        <f t="shared" si="14"/>
        <v>7.3307610974966364</v>
      </c>
      <c r="N159" s="19">
        <f>'Excess Power'!R158</f>
        <v>71.404634631746575</v>
      </c>
      <c r="O159" s="19">
        <f>'Excess Power'!T158</f>
        <v>389.71267082801808</v>
      </c>
      <c r="P159" s="34">
        <f t="shared" si="15"/>
        <v>5.4739317222752542</v>
      </c>
      <c r="R159" s="19">
        <f>'Excess Power'!V158</f>
        <v>85.114324481041919</v>
      </c>
      <c r="S159" s="19">
        <f>'Excess Power'!X158</f>
        <v>385.57391166788534</v>
      </c>
      <c r="T159" s="34">
        <f t="shared" si="16"/>
        <v>4.5434550491219632</v>
      </c>
      <c r="V159" s="19">
        <f>'Excess Power'!Z158</f>
        <v>251.94374858275549</v>
      </c>
      <c r="W159" s="19">
        <f>'Excess Power'!AB158</f>
        <v>146.20188469338646</v>
      </c>
      <c r="X159" s="34">
        <f t="shared" si="17"/>
        <v>0.58201025281279695</v>
      </c>
    </row>
    <row r="160" spans="2:24" x14ac:dyDescent="0.3">
      <c r="B160" s="19">
        <f>'Excess Power'!F159</f>
        <v>54.645373509008444</v>
      </c>
      <c r="C160" s="19">
        <f>'Excess Power'!H159</f>
        <v>395.73355000834817</v>
      </c>
      <c r="D160" s="34">
        <f t="shared" si="12"/>
        <v>7.2632454914834819</v>
      </c>
      <c r="F160" s="19">
        <f>'Excess Power'!J159</f>
        <v>35.829440675603252</v>
      </c>
      <c r="G160" s="19">
        <f>'Excess Power'!L159</f>
        <v>397.88915958403669</v>
      </c>
      <c r="H160" s="34">
        <f t="shared" si="13"/>
        <v>11.137900387700643</v>
      </c>
      <c r="J160" s="19">
        <f>'Excess Power'!N159</f>
        <v>54.265069442949027</v>
      </c>
      <c r="K160" s="19">
        <f>'Excess Power'!P159</f>
        <v>395.79270936360115</v>
      </c>
      <c r="L160" s="34">
        <f t="shared" si="14"/>
        <v>7.3152416644621701</v>
      </c>
      <c r="N160" s="19">
        <f>'Excess Power'!R159</f>
        <v>72.01958041841057</v>
      </c>
      <c r="O160" s="19">
        <f>'Excess Power'!T159</f>
        <v>392.17340092685481</v>
      </c>
      <c r="P160" s="34">
        <f t="shared" si="15"/>
        <v>5.4614605192202461</v>
      </c>
      <c r="R160" s="19">
        <f>'Excess Power'!V159</f>
        <v>85.8473398587454</v>
      </c>
      <c r="S160" s="19">
        <f>'Excess Power'!X159</f>
        <v>387.93130459198403</v>
      </c>
      <c r="T160" s="34">
        <f t="shared" si="16"/>
        <v>4.5322017654226272</v>
      </c>
      <c r="V160" s="19">
        <f>'Excess Power'!Z159</f>
        <v>254.11352015943714</v>
      </c>
      <c r="W160" s="19">
        <f>'Excess Power'!AB159</f>
        <v>142.37632126617984</v>
      </c>
      <c r="X160" s="34">
        <f t="shared" si="17"/>
        <v>0.56194168058990857</v>
      </c>
    </row>
    <row r="161" spans="2:24" x14ac:dyDescent="0.3">
      <c r="B161" s="19">
        <f>'Excess Power'!F160</f>
        <v>55.111968037952067</v>
      </c>
      <c r="C161" s="19">
        <f>'Excess Power'!H160</f>
        <v>397.62377170680179</v>
      </c>
      <c r="D161" s="34">
        <f t="shared" si="12"/>
        <v>7.2361518452669014</v>
      </c>
      <c r="F161" s="19">
        <f>'Excess Power'!J160</f>
        <v>36.135373637916892</v>
      </c>
      <c r="G161" s="19">
        <f>'Excess Power'!L160</f>
        <v>399.82892604059583</v>
      </c>
      <c r="H161" s="34">
        <f t="shared" si="13"/>
        <v>11.097442710702852</v>
      </c>
      <c r="J161" s="19">
        <f>'Excess Power'!N160</f>
        <v>54.728416710776763</v>
      </c>
      <c r="K161" s="19">
        <f>'Excess Power'!P160</f>
        <v>397.68433523590136</v>
      </c>
      <c r="L161" s="34">
        <f t="shared" si="14"/>
        <v>7.2879746145182338</v>
      </c>
      <c r="N161" s="19">
        <f>'Excess Power'!R160</f>
        <v>72.634526205074565</v>
      </c>
      <c r="O161" s="19">
        <f>'Excess Power'!T160</f>
        <v>393.97732052283425</v>
      </c>
      <c r="P161" s="34">
        <f t="shared" si="15"/>
        <v>5.4401310928737461</v>
      </c>
      <c r="R161" s="19">
        <f>'Excess Power'!V160</f>
        <v>86.580355236448895</v>
      </c>
      <c r="S161" s="19">
        <f>'Excess Power'!X160</f>
        <v>389.63014555298946</v>
      </c>
      <c r="T161" s="34">
        <f t="shared" si="16"/>
        <v>4.513510304517375</v>
      </c>
      <c r="V161" s="19">
        <f>'Excess Power'!Z160</f>
        <v>256.28329173611877</v>
      </c>
      <c r="W161" s="19">
        <f>'Excess Power'!AB160</f>
        <v>137.78617897679356</v>
      </c>
      <c r="X161" s="34">
        <f t="shared" si="17"/>
        <v>0.53922077233142018</v>
      </c>
    </row>
    <row r="162" spans="2:24" x14ac:dyDescent="0.3">
      <c r="B162" s="19">
        <f>'Excess Power'!F161</f>
        <v>55.520238250777723</v>
      </c>
      <c r="C162" s="19">
        <f>'Excess Power'!H161</f>
        <v>399.52228373369479</v>
      </c>
      <c r="D162" s="34">
        <f t="shared" si="12"/>
        <v>7.2172365088054509</v>
      </c>
      <c r="F162" s="19">
        <f>'Excess Power'!J161</f>
        <v>36.403064979941327</v>
      </c>
      <c r="G162" s="19">
        <f>'Excess Power'!L161</f>
        <v>401.77144103898507</v>
      </c>
      <c r="H162" s="34">
        <f t="shared" si="13"/>
        <v>11.069356199702129</v>
      </c>
      <c r="J162" s="19">
        <f>'Excess Power'!N161</f>
        <v>55.133845570126034</v>
      </c>
      <c r="K162" s="19">
        <f>'Excess Power'!P161</f>
        <v>399.58409471935971</v>
      </c>
      <c r="L162" s="34">
        <f t="shared" si="14"/>
        <v>7.2689412455436191</v>
      </c>
      <c r="N162" s="19">
        <f>'Excess Power'!R161</f>
        <v>73.172603768405537</v>
      </c>
      <c r="O162" s="19">
        <f>'Excess Power'!T161</f>
        <v>395.7991489207734</v>
      </c>
      <c r="P162" s="34">
        <f t="shared" si="15"/>
        <v>5.4250981248877377</v>
      </c>
      <c r="R162" s="19">
        <f>'Excess Power'!V161</f>
        <v>87.221743691939437</v>
      </c>
      <c r="S162" s="19">
        <f>'Excess Power'!X161</f>
        <v>391.35858991423225</v>
      </c>
      <c r="T162" s="34">
        <f t="shared" si="16"/>
        <v>4.5001952499768096</v>
      </c>
      <c r="V162" s="19">
        <f>'Excess Power'!Z161</f>
        <v>258.18184186571511</v>
      </c>
      <c r="W162" s="19">
        <f>'Excess Power'!AB161</f>
        <v>133.92407610121978</v>
      </c>
      <c r="X162" s="34">
        <f t="shared" si="17"/>
        <v>0.52025254720036007</v>
      </c>
    </row>
    <row r="163" spans="2:24" x14ac:dyDescent="0.3">
      <c r="B163" s="19">
        <f>'Excess Power'!F162</f>
        <v>55.928508463603386</v>
      </c>
      <c r="C163" s="19">
        <f>'Excess Power'!H162</f>
        <v>402.07424269350525</v>
      </c>
      <c r="D163" s="34">
        <f t="shared" si="12"/>
        <v>7.21031546160535</v>
      </c>
      <c r="F163" s="19">
        <f>'Excess Power'!J162</f>
        <v>36.670756321965762</v>
      </c>
      <c r="G163" s="19">
        <f>'Excess Power'!L162</f>
        <v>404.36801557724664</v>
      </c>
      <c r="H163" s="34">
        <f t="shared" si="13"/>
        <v>11.059568439189842</v>
      </c>
      <c r="J163" s="19">
        <f>'Excess Power'!N162</f>
        <v>55.539274429475306</v>
      </c>
      <c r="K163" s="19">
        <f>'Excess Power'!P162</f>
        <v>402.13731882281121</v>
      </c>
      <c r="L163" s="34">
        <f t="shared" si="14"/>
        <v>7.2619863322555931</v>
      </c>
      <c r="N163" s="19">
        <f>'Excess Power'!R162</f>
        <v>73.710681331736566</v>
      </c>
      <c r="O163" s="19">
        <f>'Excess Power'!T162</f>
        <v>398.27332444235185</v>
      </c>
      <c r="P163" s="34">
        <f t="shared" si="15"/>
        <v>5.4191608850420998</v>
      </c>
      <c r="R163" s="19">
        <f>'Excess Power'!V162</f>
        <v>87.86313214742998</v>
      </c>
      <c r="S163" s="19">
        <f>'Excess Power'!X162</f>
        <v>393.73802674758787</v>
      </c>
      <c r="T163" s="34">
        <f t="shared" si="16"/>
        <v>4.4945056475129048</v>
      </c>
      <c r="V163" s="19">
        <f>'Excess Power'!Z162</f>
        <v>260.08039199531157</v>
      </c>
      <c r="W163" s="19">
        <f>'Excess Power'!AB162</f>
        <v>130.63048922328392</v>
      </c>
      <c r="X163" s="34">
        <f t="shared" si="17"/>
        <v>0.50375363531367434</v>
      </c>
    </row>
    <row r="164" spans="2:24" x14ac:dyDescent="0.3">
      <c r="B164" s="19">
        <f>'Excess Power'!F163</f>
        <v>56.395102992547002</v>
      </c>
      <c r="C164" s="19">
        <f>'Excess Power'!H163</f>
        <v>404.61570031427453</v>
      </c>
      <c r="D164" s="34">
        <f t="shared" si="12"/>
        <v>7.1958580489888728</v>
      </c>
      <c r="F164" s="19">
        <f>'Excess Power'!J163</f>
        <v>36.976689284279409</v>
      </c>
      <c r="G164" s="19">
        <f>'Excess Power'!L163</f>
        <v>406.96121834028577</v>
      </c>
      <c r="H164" s="34">
        <f t="shared" si="13"/>
        <v>11.038403157733201</v>
      </c>
      <c r="J164" s="19">
        <f>'Excess Power'!N163</f>
        <v>56.002621697303056</v>
      </c>
      <c r="K164" s="19">
        <f>'Excess Power'!P163</f>
        <v>404.68024414651518</v>
      </c>
      <c r="L164" s="34">
        <f t="shared" si="14"/>
        <v>7.2474444592287464</v>
      </c>
      <c r="N164" s="19">
        <f>'Excess Power'!R163</f>
        <v>74.325627118400561</v>
      </c>
      <c r="O164" s="19">
        <f>'Excess Power'!T163</f>
        <v>400.72452962528041</v>
      </c>
      <c r="P164" s="34">
        <f t="shared" si="15"/>
        <v>5.4074012429463973</v>
      </c>
      <c r="R164" s="19">
        <f>'Excess Power'!V163</f>
        <v>88.596147525133489</v>
      </c>
      <c r="S164" s="19">
        <f>'Excess Power'!X163</f>
        <v>396.07928760842714</v>
      </c>
      <c r="T164" s="34">
        <f t="shared" si="16"/>
        <v>4.4838238790752847</v>
      </c>
      <c r="V164" s="19">
        <f>'Excess Power'!Z163</f>
        <v>262.2501635719932</v>
      </c>
      <c r="W164" s="19">
        <f>'Excess Power'!AB163</f>
        <v>126.38652480296565</v>
      </c>
      <c r="X164" s="34">
        <f t="shared" si="17"/>
        <v>0.48335504469776913</v>
      </c>
    </row>
    <row r="165" spans="2:24" x14ac:dyDescent="0.3">
      <c r="B165" s="19">
        <f>'Excess Power'!F164</f>
        <v>56.861697521490626</v>
      </c>
      <c r="C165" s="19">
        <f>'Excess Power'!H164</f>
        <v>406.50172616771965</v>
      </c>
      <c r="D165" s="34">
        <f t="shared" si="12"/>
        <v>7.1700770776486928</v>
      </c>
      <c r="F165" s="19">
        <f>'Excess Power'!J164</f>
        <v>37.282622246593043</v>
      </c>
      <c r="G165" s="19">
        <f>'Excess Power'!L164</f>
        <v>408.89980208396429</v>
      </c>
      <c r="H165" s="34">
        <f t="shared" si="13"/>
        <v>10.999975066749831</v>
      </c>
      <c r="J165" s="19">
        <f>'Excess Power'!N164</f>
        <v>56.465968965130784</v>
      </c>
      <c r="K165" s="19">
        <f>'Excess Power'!P164</f>
        <v>406.56776116840513</v>
      </c>
      <c r="L165" s="34">
        <f t="shared" si="14"/>
        <v>7.2214998090431779</v>
      </c>
      <c r="N165" s="19">
        <f>'Excess Power'!R164</f>
        <v>74.940572905064542</v>
      </c>
      <c r="O165" s="19">
        <f>'Excess Power'!T164</f>
        <v>402.5188439197567</v>
      </c>
      <c r="P165" s="34">
        <f t="shared" si="15"/>
        <v>5.3870432062462372</v>
      </c>
      <c r="R165" s="19">
        <f>'Excess Power'!V164</f>
        <v>89.32916290283697</v>
      </c>
      <c r="S165" s="19">
        <f>'Excess Power'!X164</f>
        <v>397.7618603595115</v>
      </c>
      <c r="T165" s="34">
        <f t="shared" si="16"/>
        <v>4.4659219105181895</v>
      </c>
      <c r="V165" s="19">
        <f>'Excess Power'!Z164</f>
        <v>264.41993514867477</v>
      </c>
      <c r="W165" s="19">
        <f>'Excess Power'!AB164</f>
        <v>121.37445042233105</v>
      </c>
      <c r="X165" s="34">
        <f t="shared" si="17"/>
        <v>0.46037775739063602</v>
      </c>
    </row>
    <row r="166" spans="2:24" x14ac:dyDescent="0.3">
      <c r="B166" s="19">
        <f>'Excess Power'!F165</f>
        <v>57.328292050434243</v>
      </c>
      <c r="C166" s="19">
        <f>'Excess Power'!H165</f>
        <v>409.04091088996995</v>
      </c>
      <c r="D166" s="34">
        <f t="shared" si="12"/>
        <v>7.1561427382669693</v>
      </c>
      <c r="F166" s="19">
        <f>'Excess Power'!J165</f>
        <v>37.588555208906691</v>
      </c>
      <c r="G166" s="19">
        <f>'Excess Power'!L165</f>
        <v>411.49236416882081</v>
      </c>
      <c r="H166" s="34">
        <f t="shared" si="13"/>
        <v>10.979622248560485</v>
      </c>
      <c r="J166" s="19">
        <f>'Excess Power'!N165</f>
        <v>56.929316232958534</v>
      </c>
      <c r="K166" s="19">
        <f>'Excess Power'!P165</f>
        <v>409.10846071875642</v>
      </c>
      <c r="L166" s="34">
        <f t="shared" si="14"/>
        <v>7.2074849552512452</v>
      </c>
      <c r="N166" s="19">
        <f>'Excess Power'!R165</f>
        <v>75.555518691728551</v>
      </c>
      <c r="O166" s="19">
        <f>'Excess Power'!T165</f>
        <v>404.96484588962181</v>
      </c>
      <c r="P166" s="34">
        <f t="shared" si="15"/>
        <v>5.3756673234083729</v>
      </c>
      <c r="R166" s="19">
        <f>'Excess Power'!V165</f>
        <v>90.062178280540451</v>
      </c>
      <c r="S166" s="19">
        <f>'Excess Power'!X165</f>
        <v>400.09430869506434</v>
      </c>
      <c r="T166" s="34">
        <f t="shared" si="16"/>
        <v>4.4555485241123884</v>
      </c>
      <c r="V166" s="19">
        <f>'Excess Power'!Z165</f>
        <v>266.58970672535639</v>
      </c>
      <c r="W166" s="19">
        <f>'Excess Power'!AB165</f>
        <v>116.90192445521046</v>
      </c>
      <c r="X166" s="34">
        <f t="shared" si="17"/>
        <v>0.43980436433551678</v>
      </c>
    </row>
    <row r="167" spans="2:24" x14ac:dyDescent="0.3">
      <c r="B167" s="19">
        <f>'Excess Power'!F166</f>
        <v>57.853210895495813</v>
      </c>
      <c r="C167" s="19">
        <f>'Excess Power'!H166</f>
        <v>412.22315553500425</v>
      </c>
      <c r="D167" s="34">
        <f t="shared" si="12"/>
        <v>7.146381007828162</v>
      </c>
      <c r="F167" s="19">
        <f>'Excess Power'!J166</f>
        <v>37.932729791509544</v>
      </c>
      <c r="G167" s="19">
        <f>'Excess Power'!L166</f>
        <v>414.73564624503518</v>
      </c>
      <c r="H167" s="34">
        <f t="shared" si="13"/>
        <v>10.96575447772258</v>
      </c>
      <c r="J167" s="19">
        <f>'Excess Power'!N166</f>
        <v>57.450581909264749</v>
      </c>
      <c r="K167" s="19">
        <f>'Excess Power'!P166</f>
        <v>412.29243806782137</v>
      </c>
      <c r="L167" s="34">
        <f t="shared" si="14"/>
        <v>7.1976742632431634</v>
      </c>
      <c r="N167" s="19">
        <f>'Excess Power'!R166</f>
        <v>76.247332701725554</v>
      </c>
      <c r="O167" s="19">
        <f>'Excess Power'!T166</f>
        <v>408.04048637092876</v>
      </c>
      <c r="P167" s="34">
        <f t="shared" si="15"/>
        <v>5.3673492046751274</v>
      </c>
      <c r="R167" s="19">
        <f>'Excess Power'!V166</f>
        <v>90.88682058045687</v>
      </c>
      <c r="S167" s="19">
        <f>'Excess Power'!X166</f>
        <v>403.04001680842504</v>
      </c>
      <c r="T167" s="34">
        <f t="shared" si="16"/>
        <v>4.4476285370797415</v>
      </c>
      <c r="V167" s="19">
        <f>'Excess Power'!Z166</f>
        <v>269.03069974912319</v>
      </c>
      <c r="W167" s="19">
        <f>'Excess Power'!AB166</f>
        <v>112.05903380155007</v>
      </c>
      <c r="X167" s="34">
        <f t="shared" si="17"/>
        <v>0.41775945055830194</v>
      </c>
    </row>
    <row r="168" spans="2:24" x14ac:dyDescent="0.3">
      <c r="B168" s="19">
        <f>'Excess Power'!F167</f>
        <v>58.319805424439423</v>
      </c>
      <c r="C168" s="19">
        <f>'Excess Power'!H167</f>
        <v>414.76078426248944</v>
      </c>
      <c r="D168" s="34">
        <f t="shared" si="12"/>
        <v>7.1328463945463243</v>
      </c>
      <c r="F168" s="19">
        <f>'Excess Power'!J167</f>
        <v>38.238662753823178</v>
      </c>
      <c r="G168" s="19">
        <f>'Excess Power'!L167</f>
        <v>417.32841604105886</v>
      </c>
      <c r="H168" s="34">
        <f t="shared" si="13"/>
        <v>10.946026918105996</v>
      </c>
      <c r="J168" s="19">
        <f>'Excess Power'!N167</f>
        <v>57.913929177092477</v>
      </c>
      <c r="K168" s="19">
        <f>'Excess Power'!P167</f>
        <v>414.83163254480178</v>
      </c>
      <c r="L168" s="34">
        <f t="shared" si="14"/>
        <v>7.1840622346119059</v>
      </c>
      <c r="N168" s="19">
        <f>'Excess Power'!R167</f>
        <v>76.862278488389549</v>
      </c>
      <c r="O168" s="19">
        <f>'Excess Power'!T167</f>
        <v>410.48176597624973</v>
      </c>
      <c r="P168" s="34">
        <f t="shared" si="15"/>
        <v>5.3562626701767284</v>
      </c>
      <c r="R168" s="19">
        <f>'Excess Power'!V167</f>
        <v>91.619835958160351</v>
      </c>
      <c r="S168" s="19">
        <f>'Excess Power'!X167</f>
        <v>405.36384271445002</v>
      </c>
      <c r="T168" s="34">
        <f t="shared" si="16"/>
        <v>4.4374834811867796</v>
      </c>
      <c r="V168" s="19">
        <f>'Excess Power'!Z167</f>
        <v>271.20047132580481</v>
      </c>
      <c r="W168" s="19">
        <f>'Excess Power'!AB167</f>
        <v>107.34043422000502</v>
      </c>
      <c r="X168" s="34">
        <f t="shared" si="17"/>
        <v>0.39696677474680708</v>
      </c>
    </row>
    <row r="169" spans="2:24" x14ac:dyDescent="0.3">
      <c r="B169" s="19">
        <f>'Excess Power'!F168</f>
        <v>58.728075637265093</v>
      </c>
      <c r="C169" s="19">
        <f>'Excess Power'!H168</f>
        <v>417.30672463084744</v>
      </c>
      <c r="D169" s="34">
        <f t="shared" si="12"/>
        <v>7.1267391579859325</v>
      </c>
      <c r="F169" s="19">
        <f>'Excess Power'!J168</f>
        <v>38.506354095847612</v>
      </c>
      <c r="G169" s="19">
        <f>'Excess Power'!L168</f>
        <v>419.92329407584617</v>
      </c>
      <c r="H169" s="34">
        <f t="shared" si="13"/>
        <v>10.937518921871456</v>
      </c>
      <c r="J169" s="19">
        <f>'Excess Power'!N168</f>
        <v>58.319358036441756</v>
      </c>
      <c r="K169" s="19">
        <f>'Excess Power'!P168</f>
        <v>417.37896284333237</v>
      </c>
      <c r="L169" s="34">
        <f t="shared" si="14"/>
        <v>7.1779275707947221</v>
      </c>
      <c r="N169" s="19">
        <f>'Excess Power'!R168</f>
        <v>77.40035605172055</v>
      </c>
      <c r="O169" s="19">
        <f>'Excess Power'!T168</f>
        <v>412.94216348996389</v>
      </c>
      <c r="P169" s="34">
        <f t="shared" si="15"/>
        <v>5.3509084584228708</v>
      </c>
      <c r="R169" s="19">
        <f>'Excess Power'!V168</f>
        <v>92.261224413650908</v>
      </c>
      <c r="S169" s="19">
        <f>'Excess Power'!X168</f>
        <v>407.71994415076927</v>
      </c>
      <c r="T169" s="34">
        <f t="shared" si="16"/>
        <v>4.4322473916570218</v>
      </c>
      <c r="V169" s="19">
        <f>'Excess Power'!Z168</f>
        <v>273.09902145540121</v>
      </c>
      <c r="W169" s="19">
        <f>'Excess Power'!AB168</f>
        <v>103.44162077323529</v>
      </c>
      <c r="X169" s="34">
        <f t="shared" si="17"/>
        <v>0.37988874215224627</v>
      </c>
    </row>
    <row r="170" spans="2:24" x14ac:dyDescent="0.3">
      <c r="B170" s="19">
        <f>'Excess Power'!F169</f>
        <v>59.252994482326663</v>
      </c>
      <c r="C170" s="19">
        <f>'Excess Power'!H169</f>
        <v>419.83072117371927</v>
      </c>
      <c r="D170" s="34">
        <f t="shared" si="12"/>
        <v>7.1063265882407709</v>
      </c>
      <c r="F170" s="19">
        <f>'Excess Power'!J169</f>
        <v>38.850528678450466</v>
      </c>
      <c r="G170" s="19">
        <f>'Excess Power'!L169</f>
        <v>422.51116327223014</v>
      </c>
      <c r="H170" s="34">
        <f t="shared" si="13"/>
        <v>10.907431793694506</v>
      </c>
      <c r="J170" s="19">
        <f>'Excess Power'!N169</f>
        <v>58.840623712747963</v>
      </c>
      <c r="K170" s="19">
        <f>'Excess Power'!P169</f>
        <v>419.90477394825416</v>
      </c>
      <c r="L170" s="34">
        <f t="shared" si="14"/>
        <v>7.1573918683364113</v>
      </c>
      <c r="N170" s="19">
        <f>'Excess Power'!R169</f>
        <v>78.092170061717539</v>
      </c>
      <c r="O170" s="19">
        <f>'Excess Power'!T169</f>
        <v>415.35446581291205</v>
      </c>
      <c r="P170" s="34">
        <f t="shared" si="15"/>
        <v>5.3344867882743356</v>
      </c>
      <c r="R170" s="19">
        <f>'Excess Power'!V169</f>
        <v>93.085866713567327</v>
      </c>
      <c r="S170" s="19">
        <f>'Excess Power'!X169</f>
        <v>409.99604460747474</v>
      </c>
      <c r="T170" s="34">
        <f t="shared" si="16"/>
        <v>4.4175062345690943</v>
      </c>
      <c r="V170" s="19">
        <f>'Excess Power'!Z169</f>
        <v>275.54001447916806</v>
      </c>
      <c r="W170" s="19">
        <f>'Excess Power'!AB169</f>
        <v>97.547410925945769</v>
      </c>
      <c r="X170" s="34">
        <f t="shared" si="17"/>
        <v>0.35506864355230144</v>
      </c>
    </row>
    <row r="171" spans="2:24" x14ac:dyDescent="0.3">
      <c r="B171" s="19">
        <f>'Excess Power'!F170</f>
        <v>59.602940379034379</v>
      </c>
      <c r="C171" s="19">
        <f>'Excess Power'!H170</f>
        <v>421.73095025790519</v>
      </c>
      <c r="D171" s="34">
        <f t="shared" si="12"/>
        <v>7.0965789746308401</v>
      </c>
      <c r="F171" s="19">
        <f>'Excess Power'!J170</f>
        <v>39.079978400185695</v>
      </c>
      <c r="G171" s="19">
        <f>'Excess Power'!L170</f>
        <v>424.45457395743756</v>
      </c>
      <c r="H171" s="34">
        <f t="shared" si="13"/>
        <v>10.89326713362671</v>
      </c>
      <c r="J171" s="19">
        <f>'Excess Power'!N170</f>
        <v>59.18813416361877</v>
      </c>
      <c r="K171" s="19">
        <f>'Excess Power'!P170</f>
        <v>421.80623005871325</v>
      </c>
      <c r="L171" s="34">
        <f t="shared" si="14"/>
        <v>7.1475893220244524</v>
      </c>
      <c r="N171" s="19">
        <f>'Excess Power'!R170</f>
        <v>78.55337940171556</v>
      </c>
      <c r="O171" s="19">
        <f>'Excess Power'!T170</f>
        <v>417.17915520930654</v>
      </c>
      <c r="P171" s="34">
        <f t="shared" si="15"/>
        <v>5.3264637775332098</v>
      </c>
      <c r="R171" s="19">
        <f>'Excess Power'!V170</f>
        <v>93.635628246844945</v>
      </c>
      <c r="S171" s="19">
        <f>'Excess Power'!X170</f>
        <v>411.72860635727892</v>
      </c>
      <c r="T171" s="34">
        <f t="shared" si="16"/>
        <v>4.4101276936069729</v>
      </c>
      <c r="V171" s="19">
        <f>'Excess Power'!Z170</f>
        <v>277.1673431616793</v>
      </c>
      <c r="W171" s="19">
        <f>'Excess Power'!AB170</f>
        <v>93.752342580668483</v>
      </c>
      <c r="X171" s="34">
        <f t="shared" si="17"/>
        <v>0.33925114360764824</v>
      </c>
    </row>
    <row r="172" spans="2:24" x14ac:dyDescent="0.3">
      <c r="B172" s="19">
        <f>'Excess Power'!F171</f>
        <v>60.011210591860035</v>
      </c>
      <c r="C172" s="19">
        <f>'Excess Power'!H171</f>
        <v>423.61883352849719</v>
      </c>
      <c r="D172" s="34">
        <f t="shared" si="12"/>
        <v>7.079851088442938</v>
      </c>
      <c r="F172" s="19">
        <f>'Excess Power'!J171</f>
        <v>39.347669742210144</v>
      </c>
      <c r="G172" s="19">
        <f>'Excess Power'!L171</f>
        <v>426.39344664161678</v>
      </c>
      <c r="H172" s="34">
        <f t="shared" si="13"/>
        <v>10.868578705246055</v>
      </c>
      <c r="J172" s="19">
        <f>'Excess Power'!N171</f>
        <v>59.593563022968056</v>
      </c>
      <c r="K172" s="19">
        <f>'Excess Power'!P171</f>
        <v>423.6955624971456</v>
      </c>
      <c r="L172" s="34">
        <f t="shared" si="14"/>
        <v>7.1307599133089763</v>
      </c>
      <c r="N172" s="19">
        <f>'Excess Power'!R171</f>
        <v>79.091456965046547</v>
      </c>
      <c r="O172" s="19">
        <f>'Excess Power'!T171</f>
        <v>418.97781213693844</v>
      </c>
      <c r="P172" s="34">
        <f t="shared" si="15"/>
        <v>5.3130352790574085</v>
      </c>
      <c r="R172" s="19">
        <f>'Excess Power'!V171</f>
        <v>94.277016702335516</v>
      </c>
      <c r="S172" s="19">
        <f>'Excess Power'!X171</f>
        <v>413.41843019990068</v>
      </c>
      <c r="T172" s="34">
        <f t="shared" si="16"/>
        <v>4.3981015548342155</v>
      </c>
      <c r="V172" s="19">
        <f>'Excess Power'!Z171</f>
        <v>279.0658932912757</v>
      </c>
      <c r="W172" s="19">
        <f>'Excess Power'!AB171</f>
        <v>88.911020800810377</v>
      </c>
      <c r="X172" s="34">
        <f t="shared" si="17"/>
        <v>0.3195435723135866</v>
      </c>
    </row>
    <row r="173" spans="2:24" x14ac:dyDescent="0.3">
      <c r="B173" s="19">
        <f>'Excess Power'!F172</f>
        <v>60.419480804685705</v>
      </c>
      <c r="C173" s="19">
        <f>'Excess Power'!H172</f>
        <v>426.16099472832809</v>
      </c>
      <c r="D173" s="34">
        <f t="shared" si="12"/>
        <v>7.0742101895893743</v>
      </c>
      <c r="F173" s="19">
        <f>'Excess Power'!J172</f>
        <v>39.615361084234571</v>
      </c>
      <c r="G173" s="19">
        <f>'Excess Power'!L172</f>
        <v>428.98725941510725</v>
      </c>
      <c r="H173" s="34">
        <f t="shared" si="13"/>
        <v>10.86080525323535</v>
      </c>
      <c r="J173" s="19">
        <f>'Excess Power'!N172</f>
        <v>59.998991882317313</v>
      </c>
      <c r="K173" s="19">
        <f>'Excess Power'!P172</f>
        <v>426.23919198258102</v>
      </c>
      <c r="L173" s="34">
        <f t="shared" si="14"/>
        <v>7.1250952997394137</v>
      </c>
      <c r="N173" s="19">
        <f>'Excess Power'!R172</f>
        <v>79.629534528377548</v>
      </c>
      <c r="O173" s="19">
        <f>'Excess Power'!T172</f>
        <v>421.42955822214168</v>
      </c>
      <c r="P173" s="34">
        <f t="shared" si="15"/>
        <v>5.3080140868733778</v>
      </c>
      <c r="R173" s="19">
        <f>'Excess Power'!V172</f>
        <v>94.918405157826044</v>
      </c>
      <c r="S173" s="19">
        <f>'Excess Power'!X172</f>
        <v>415.75987897226287</v>
      </c>
      <c r="T173" s="34">
        <f t="shared" si="16"/>
        <v>4.3931233330302328</v>
      </c>
      <c r="V173" s="19">
        <f>'Excess Power'!Z172</f>
        <v>280.9644434208721</v>
      </c>
      <c r="W173" s="19">
        <f>'Excess Power'!AB172</f>
        <v>84.63217604292953</v>
      </c>
      <c r="X173" s="34">
        <f t="shared" si="17"/>
        <v>0.30211020519352944</v>
      </c>
    </row>
    <row r="174" spans="2:24" x14ac:dyDescent="0.3">
      <c r="B174" s="19">
        <f>'Excess Power'!F173</f>
        <v>60.769426701393428</v>
      </c>
      <c r="C174" s="19">
        <f>'Excess Power'!H173</f>
        <v>428.05896568003783</v>
      </c>
      <c r="D174" s="34">
        <f t="shared" si="12"/>
        <v>7.0647973603726779</v>
      </c>
      <c r="F174" s="19">
        <f>'Excess Power'!J173</f>
        <v>39.8448108059698</v>
      </c>
      <c r="G174" s="19">
        <f>'Excess Power'!L173</f>
        <v>430.93003358434225</v>
      </c>
      <c r="H174" s="34">
        <f t="shared" si="13"/>
        <v>10.847164968632267</v>
      </c>
      <c r="J174" s="19">
        <f>'Excess Power'!N173</f>
        <v>60.346502333188127</v>
      </c>
      <c r="K174" s="19">
        <f>'Excess Power'!P173</f>
        <v>428.13843677957823</v>
      </c>
      <c r="L174" s="34">
        <f t="shared" si="14"/>
        <v>7.1156301467322516</v>
      </c>
      <c r="N174" s="19">
        <f>'Excess Power'!R173</f>
        <v>80.090743868375554</v>
      </c>
      <c r="O174" s="19">
        <f>'Excess Power'!T173</f>
        <v>423.249078208507</v>
      </c>
      <c r="P174" s="34">
        <f t="shared" si="15"/>
        <v>5.3002327902748503</v>
      </c>
      <c r="R174" s="19">
        <f>'Excess Power'!V173</f>
        <v>95.468166691103676</v>
      </c>
      <c r="S174" s="19">
        <f>'Excess Power'!X173</f>
        <v>417.48368544796193</v>
      </c>
      <c r="T174" s="34">
        <f t="shared" si="16"/>
        <v>4.3859348564631837</v>
      </c>
      <c r="V174" s="19">
        <f>'Excess Power'!Z173</f>
        <v>282.59177210338328</v>
      </c>
      <c r="W174" s="19">
        <f>'Excess Power'!AB173</f>
        <v>80.610031016780283</v>
      </c>
      <c r="X174" s="34">
        <f t="shared" si="17"/>
        <v>0.2860953679427517</v>
      </c>
    </row>
    <row r="175" spans="2:24" x14ac:dyDescent="0.3">
      <c r="B175" s="19">
        <f>'Excess Power'!F174</f>
        <v>61.177696914219084</v>
      </c>
      <c r="C175" s="19">
        <f>'Excess Power'!H174</f>
        <v>429.94509781992423</v>
      </c>
      <c r="D175" s="34">
        <f t="shared" si="12"/>
        <v>7.0485718146439087</v>
      </c>
      <c r="F175" s="19">
        <f>'Excess Power'!J174</f>
        <v>40.112502147994242</v>
      </c>
      <c r="G175" s="19">
        <f>'Excess Power'!L174</f>
        <v>432.86905897532364</v>
      </c>
      <c r="H175" s="34">
        <f t="shared" si="13"/>
        <v>10.823258760676476</v>
      </c>
      <c r="J175" s="19">
        <f>'Excess Power'!N174</f>
        <v>60.751931192537405</v>
      </c>
      <c r="K175" s="19">
        <f>'Excess Power'!P174</f>
        <v>430.0260730545524</v>
      </c>
      <c r="L175" s="34">
        <f t="shared" si="14"/>
        <v>7.0993069054405806</v>
      </c>
      <c r="N175" s="19">
        <f>'Excess Power'!R174</f>
        <v>80.628821431706541</v>
      </c>
      <c r="O175" s="19">
        <f>'Excess Power'!T174</f>
        <v>425.04256605834883</v>
      </c>
      <c r="P175" s="34">
        <f t="shared" si="15"/>
        <v>5.2871710893227437</v>
      </c>
      <c r="R175" s="19">
        <f>'Excess Power'!V174</f>
        <v>96.109555146594218</v>
      </c>
      <c r="S175" s="19">
        <f>'Excess Power'!X174</f>
        <v>419.16413027628283</v>
      </c>
      <c r="T175" s="34">
        <f t="shared" si="16"/>
        <v>4.3742015984869189</v>
      </c>
      <c r="V175" s="19">
        <f>'Excess Power'!Z174</f>
        <v>284.49032223297974</v>
      </c>
      <c r="W175" s="19">
        <f>'Excess Power'!AB174</f>
        <v>75.503012849183733</v>
      </c>
      <c r="X175" s="34">
        <f t="shared" si="17"/>
        <v>0.26618160272807756</v>
      </c>
    </row>
    <row r="176" spans="2:24" x14ac:dyDescent="0.3">
      <c r="B176" s="19">
        <f>'Excess Power'!F175</f>
        <v>61.585967127044754</v>
      </c>
      <c r="C176" s="19">
        <f>'Excess Power'!H175</f>
        <v>431.17598996601606</v>
      </c>
      <c r="D176" s="34">
        <f t="shared" si="12"/>
        <v>7.0218905247551762</v>
      </c>
      <c r="F176" s="19">
        <f>'Excess Power'!J175</f>
        <v>40.380193490018677</v>
      </c>
      <c r="G176" s="19">
        <f>'Excess Power'!L175</f>
        <v>434.15351940352247</v>
      </c>
      <c r="H176" s="34">
        <f t="shared" si="13"/>
        <v>10.783411570786154</v>
      </c>
      <c r="J176" s="19">
        <f>'Excess Power'!N175</f>
        <v>61.15736005188667</v>
      </c>
      <c r="K176" s="19">
        <f>'Excess Power'!P175</f>
        <v>431.25848882510354</v>
      </c>
      <c r="L176" s="34">
        <f t="shared" si="14"/>
        <v>7.0724547505979629</v>
      </c>
      <c r="N176" s="19">
        <f>'Excess Power'!R175</f>
        <v>81.166898995037556</v>
      </c>
      <c r="O176" s="19">
        <f>'Excess Power'!T175</f>
        <v>426.17960203561455</v>
      </c>
      <c r="P176" s="34">
        <f t="shared" si="15"/>
        <v>5.2661709925343088</v>
      </c>
      <c r="R176" s="19">
        <f>'Excess Power'!V175</f>
        <v>96.750943602084774</v>
      </c>
      <c r="S176" s="19">
        <f>'Excess Power'!X175</f>
        <v>420.18663054281876</v>
      </c>
      <c r="T176" s="34">
        <f t="shared" si="16"/>
        <v>4.3558034201236353</v>
      </c>
      <c r="V176" s="19">
        <f>'Excess Power'!Z175</f>
        <v>286.38887236257614</v>
      </c>
      <c r="W176" s="19">
        <f>'Excess Power'!AB175</f>
        <v>69.647169372223971</v>
      </c>
      <c r="X176" s="34">
        <f t="shared" si="17"/>
        <v>0.24390942470515717</v>
      </c>
    </row>
    <row r="177" spans="2:24" x14ac:dyDescent="0.3">
      <c r="B177" s="19">
        <f>'Excess Power'!F176</f>
        <v>61.994237339870423</v>
      </c>
      <c r="C177" s="19">
        <f>'Excess Power'!H176</f>
        <v>432.40503584525175</v>
      </c>
      <c r="D177" s="34">
        <f t="shared" si="12"/>
        <v>6.9955307910452529</v>
      </c>
      <c r="F177" s="19">
        <f>'Excess Power'!J176</f>
        <v>40.647884832043111</v>
      </c>
      <c r="G177" s="19">
        <f>'Excess Power'!L176</f>
        <v>435.43681310070599</v>
      </c>
      <c r="H177" s="34">
        <f t="shared" si="13"/>
        <v>10.744060429272849</v>
      </c>
      <c r="J177" s="19">
        <f>'Excess Power'!N176</f>
        <v>61.562788911235948</v>
      </c>
      <c r="K177" s="19">
        <f>'Excess Power'!P176</f>
        <v>432.48907794823276</v>
      </c>
      <c r="L177" s="34">
        <f t="shared" si="14"/>
        <v>7.0459265127356447</v>
      </c>
      <c r="N177" s="19">
        <f>'Excess Power'!R176</f>
        <v>81.704976558368557</v>
      </c>
      <c r="O177" s="19">
        <f>'Excess Power'!T176</f>
        <v>427.31357177975258</v>
      </c>
      <c r="P177" s="34">
        <f t="shared" si="15"/>
        <v>5.245409853887578</v>
      </c>
      <c r="R177" s="19">
        <f>'Excess Power'!V176</f>
        <v>97.392332057575331</v>
      </c>
      <c r="S177" s="19">
        <f>'Excess Power'!X176</f>
        <v>421.20456192553593</v>
      </c>
      <c r="T177" s="34">
        <f t="shared" si="16"/>
        <v>4.3376005176636294</v>
      </c>
      <c r="V177" s="19">
        <f>'Excess Power'!Z176</f>
        <v>288.2874224921726</v>
      </c>
      <c r="W177" s="19">
        <f>'Excess Power'!AB176</f>
        <v>63.695269769931713</v>
      </c>
      <c r="X177" s="34">
        <f t="shared" si="17"/>
        <v>0.22159641855843032</v>
      </c>
    </row>
    <row r="178" spans="2:24" x14ac:dyDescent="0.3">
      <c r="B178" s="19">
        <f>'Excess Power'!F177</f>
        <v>62.402507552696079</v>
      </c>
      <c r="C178" s="19">
        <f>'Excess Power'!H177</f>
        <v>433.6340291845695</v>
      </c>
      <c r="D178" s="34">
        <f t="shared" si="12"/>
        <v>6.9695151315380546</v>
      </c>
      <c r="F178" s="19">
        <f>'Excess Power'!J177</f>
        <v>40.915576174067553</v>
      </c>
      <c r="G178" s="19">
        <f>'Excess Power'!L177</f>
        <v>436.72073829864132</v>
      </c>
      <c r="H178" s="34">
        <f t="shared" si="13"/>
        <v>10.705239679564878</v>
      </c>
      <c r="J178" s="19">
        <f>'Excess Power'!N177</f>
        <v>61.968217770585213</v>
      </c>
      <c r="K178" s="19">
        <f>'Excess Power'!P177</f>
        <v>433.71963428094091</v>
      </c>
      <c r="L178" s="34">
        <f t="shared" si="14"/>
        <v>7.0197448676898553</v>
      </c>
      <c r="N178" s="19">
        <f>'Excess Power'!R177</f>
        <v>82.243054121699544</v>
      </c>
      <c r="O178" s="19">
        <f>'Excess Power'!T177</f>
        <v>428.44626093021134</v>
      </c>
      <c r="P178" s="34">
        <f t="shared" si="15"/>
        <v>5.224904759094807</v>
      </c>
      <c r="R178" s="19">
        <f>'Excess Power'!V177</f>
        <v>98.033720513065873</v>
      </c>
      <c r="S178" s="19">
        <f>'Excess Power'!X177</f>
        <v>422.21970010240057</v>
      </c>
      <c r="T178" s="34">
        <f t="shared" si="16"/>
        <v>4.3196072247581201</v>
      </c>
      <c r="V178" s="19">
        <f>'Excess Power'!Z177</f>
        <v>290.18597262176894</v>
      </c>
      <c r="W178" s="19">
        <f>'Excess Power'!AB177</f>
        <v>57.648483226338215</v>
      </c>
      <c r="X178" s="34">
        <f t="shared" si="17"/>
        <v>0.19924742663484149</v>
      </c>
    </row>
    <row r="179" spans="2:24" x14ac:dyDescent="0.3">
      <c r="B179" s="19">
        <f>'Excess Power'!F178</f>
        <v>62.92742639775765</v>
      </c>
      <c r="C179" s="19">
        <f>'Excess Power'!H178</f>
        <v>435.49291087492077</v>
      </c>
      <c r="D179" s="34">
        <f t="shared" si="12"/>
        <v>6.9410052099444703</v>
      </c>
      <c r="F179" s="19">
        <f>'Excess Power'!J178</f>
        <v>41.259750756670392</v>
      </c>
      <c r="G179" s="19">
        <f>'Excess Power'!L178</f>
        <v>438.65125903509579</v>
      </c>
      <c r="H179" s="34">
        <f t="shared" si="13"/>
        <v>10.662867953643252</v>
      </c>
      <c r="J179" s="19">
        <f>'Excess Power'!N178</f>
        <v>62.489483446891427</v>
      </c>
      <c r="K179" s="19">
        <f>'Excess Power'!P178</f>
        <v>435.58055476320487</v>
      </c>
      <c r="L179" s="34">
        <f t="shared" si="14"/>
        <v>6.9910563060207398</v>
      </c>
      <c r="N179" s="19">
        <f>'Excess Power'!R178</f>
        <v>82.934868131696547</v>
      </c>
      <c r="O179" s="19">
        <f>'Excess Power'!T178</f>
        <v>430.17950544657702</v>
      </c>
      <c r="P179" s="34">
        <f t="shared" si="15"/>
        <v>5.2022810196540057</v>
      </c>
      <c r="R179" s="19">
        <f>'Excess Power'!V178</f>
        <v>98.858362812982293</v>
      </c>
      <c r="S179" s="19">
        <f>'Excess Power'!X178</f>
        <v>423.7995690076043</v>
      </c>
      <c r="T179" s="34">
        <f t="shared" si="16"/>
        <v>4.2996029066550081</v>
      </c>
      <c r="V179" s="19">
        <f>'Excess Power'!Z178</f>
        <v>292.62696564553573</v>
      </c>
      <c r="W179" s="19">
        <f>'Excess Power'!AB178</f>
        <v>50.012437178070286</v>
      </c>
      <c r="X179" s="34">
        <f t="shared" si="17"/>
        <v>0.17141346179888783</v>
      </c>
    </row>
    <row r="180" spans="2:24" x14ac:dyDescent="0.3">
      <c r="B180" s="19">
        <f>'Excess Power'!F179</f>
        <v>63.277372294465358</v>
      </c>
      <c r="C180" s="19">
        <f>'Excess Power'!H179</f>
        <v>436.07637820865131</v>
      </c>
      <c r="D180" s="34">
        <f t="shared" si="12"/>
        <v>6.9118670676528238</v>
      </c>
      <c r="F180" s="19">
        <f>'Excess Power'!J179</f>
        <v>41.489200478405635</v>
      </c>
      <c r="G180" s="19">
        <f>'Excess Power'!L179</f>
        <v>439.28312279869817</v>
      </c>
      <c r="H180" s="34">
        <f t="shared" si="13"/>
        <v>10.619173174516485</v>
      </c>
      <c r="J180" s="19">
        <f>'Excess Power'!N179</f>
        <v>62.836993897762227</v>
      </c>
      <c r="K180" s="19">
        <f>'Excess Power'!P179</f>
        <v>436.16539968479094</v>
      </c>
      <c r="L180" s="34">
        <f t="shared" si="14"/>
        <v>6.9617281643932758</v>
      </c>
      <c r="N180" s="19">
        <f>'Excess Power'!R179</f>
        <v>83.396077471694539</v>
      </c>
      <c r="O180" s="19">
        <f>'Excess Power'!T179</f>
        <v>430.67807094422807</v>
      </c>
      <c r="P180" s="34">
        <f t="shared" si="15"/>
        <v>5.1795065424715814</v>
      </c>
      <c r="R180" s="19">
        <f>'Excess Power'!V179</f>
        <v>99.408124346259896</v>
      </c>
      <c r="S180" s="19">
        <f>'Excess Power'!X179</f>
        <v>424.19447536068549</v>
      </c>
      <c r="T180" s="34">
        <f t="shared" si="16"/>
        <v>4.2798089192164976</v>
      </c>
      <c r="V180" s="19">
        <f>'Excess Power'!Z179</f>
        <v>294.25429432804697</v>
      </c>
      <c r="W180" s="19">
        <f>'Excess Power'!AB179</f>
        <v>44.177630811715403</v>
      </c>
      <c r="X180" s="34">
        <f t="shared" si="17"/>
        <v>0.15057777060213831</v>
      </c>
    </row>
    <row r="181" spans="2:24" x14ac:dyDescent="0.3">
      <c r="B181" s="19">
        <f>'Excess Power'!F180</f>
        <v>63.743966823408968</v>
      </c>
      <c r="C181" s="19">
        <f>'Excess Power'!H180</f>
        <v>437.9446228219806</v>
      </c>
      <c r="D181" s="34">
        <f t="shared" si="12"/>
        <v>6.8906685919549409</v>
      </c>
      <c r="F181" s="19">
        <f>'Excess Power'!J180</f>
        <v>41.795133440719269</v>
      </c>
      <c r="G181" s="19">
        <f>'Excess Power'!L180</f>
        <v>441.21669441688658</v>
      </c>
      <c r="H181" s="34">
        <f t="shared" si="13"/>
        <v>10.587842477486058</v>
      </c>
      <c r="J181" s="19">
        <f>'Excess Power'!N180</f>
        <v>63.30034116558997</v>
      </c>
      <c r="K181" s="19">
        <f>'Excess Power'!P180</f>
        <v>438.03550413410113</v>
      </c>
      <c r="L181" s="34">
        <f t="shared" si="14"/>
        <v>6.9404001914067015</v>
      </c>
      <c r="N181" s="19">
        <f>'Excess Power'!R180</f>
        <v>84.011023258358534</v>
      </c>
      <c r="O181" s="19">
        <f>'Excess Power'!T180</f>
        <v>432.43167969022386</v>
      </c>
      <c r="P181" s="34">
        <f t="shared" si="15"/>
        <v>5.1625287006690863</v>
      </c>
      <c r="R181" s="19">
        <f>'Excess Power'!V180</f>
        <v>100.14113972396339</v>
      </c>
      <c r="S181" s="19">
        <f>'Excess Power'!X180</f>
        <v>425.80810635003405</v>
      </c>
      <c r="T181" s="34">
        <f t="shared" si="16"/>
        <v>4.2646426526835697</v>
      </c>
      <c r="V181" s="19">
        <f>'Excess Power'!Z180</f>
        <v>296.42406590472859</v>
      </c>
      <c r="W181" s="19">
        <f>'Excess Power'!AB180</f>
        <v>37.377483751637044</v>
      </c>
      <c r="X181" s="34">
        <f t="shared" si="17"/>
        <v>0.12646718515225583</v>
      </c>
    </row>
    <row r="182" spans="2:24" x14ac:dyDescent="0.3">
      <c r="B182" s="19">
        <f>'Excess Power'!F181</f>
        <v>64.327209984588492</v>
      </c>
      <c r="C182" s="19">
        <f>'Excess Power'!H181</f>
        <v>439.78627854841341</v>
      </c>
      <c r="D182" s="34">
        <f t="shared" si="12"/>
        <v>6.856906233059779</v>
      </c>
      <c r="F182" s="19">
        <f>'Excess Power'!J181</f>
        <v>42.177549643611329</v>
      </c>
      <c r="G182" s="19">
        <f>'Excess Power'!L181</f>
        <v>443.1413015493921</v>
      </c>
      <c r="H182" s="34">
        <f t="shared" si="13"/>
        <v>10.537610326419889</v>
      </c>
      <c r="J182" s="19">
        <f>'Excess Power'!N181</f>
        <v>63.879525250374648</v>
      </c>
      <c r="K182" s="19">
        <f>'Excess Power'!P181</f>
        <v>439.87952197666385</v>
      </c>
      <c r="L182" s="34">
        <f t="shared" si="14"/>
        <v>6.9064252479910238</v>
      </c>
      <c r="N182" s="19">
        <f>'Excess Power'!R181</f>
        <v>84.779705491688532</v>
      </c>
      <c r="O182" s="19">
        <f>'Excess Power'!T181</f>
        <v>434.12771989636178</v>
      </c>
      <c r="P182" s="34">
        <f t="shared" si="15"/>
        <v>5.1357853563263411</v>
      </c>
      <c r="R182" s="19">
        <f>'Excess Power'!V181</f>
        <v>101.05740894609274</v>
      </c>
      <c r="S182" s="19">
        <f>'Excess Power'!X181</f>
        <v>427.32631593657243</v>
      </c>
      <c r="T182" s="34">
        <f t="shared" si="16"/>
        <v>4.2410435358535032</v>
      </c>
      <c r="V182" s="19">
        <f>'Excess Power'!Z181</f>
        <v>299.13628037558061</v>
      </c>
      <c r="W182" s="19">
        <f>'Excess Power'!AB181</f>
        <v>28.204438774659025</v>
      </c>
      <c r="X182" s="34">
        <f t="shared" si="17"/>
        <v>9.4564825221206822E-2</v>
      </c>
    </row>
    <row r="183" spans="2:24" x14ac:dyDescent="0.3">
      <c r="B183" s="19">
        <f>'Excess Power'!F182</f>
        <v>65.027101778003924</v>
      </c>
      <c r="C183" s="19">
        <f>'Excess Power'!H182</f>
        <v>441.60192121990167</v>
      </c>
      <c r="D183" s="34">
        <f t="shared" si="12"/>
        <v>6.8111086309981932</v>
      </c>
      <c r="F183" s="19">
        <f>'Excess Power'!J182</f>
        <v>42.636449087081793</v>
      </c>
      <c r="G183" s="19">
        <f>'Excess Power'!L182</f>
        <v>445.05839913120013</v>
      </c>
      <c r="H183" s="34">
        <f t="shared" si="13"/>
        <v>10.469289867213751</v>
      </c>
      <c r="J183" s="19">
        <f>'Excess Power'!N182</f>
        <v>64.574546152116255</v>
      </c>
      <c r="K183" s="19">
        <f>'Excess Power'!P182</f>
        <v>441.69805442573255</v>
      </c>
      <c r="L183" s="34">
        <f t="shared" si="14"/>
        <v>6.86033581035396</v>
      </c>
      <c r="N183" s="19">
        <f>'Excess Power'!R182</f>
        <v>85.702124171684531</v>
      </c>
      <c r="O183" s="19">
        <f>'Excess Power'!T182</f>
        <v>435.76518914664035</v>
      </c>
      <c r="P183" s="34">
        <f t="shared" si="15"/>
        <v>5.0996714659014515</v>
      </c>
      <c r="R183" s="19">
        <f>'Excess Power'!V182</f>
        <v>102.15693201264799</v>
      </c>
      <c r="S183" s="19">
        <f>'Excess Power'!X182</f>
        <v>428.74615775270541</v>
      </c>
      <c r="T183" s="34">
        <f t="shared" si="16"/>
        <v>4.2093365500738402</v>
      </c>
      <c r="V183" s="19">
        <f>'Excess Power'!Z182</f>
        <v>302.39093774060308</v>
      </c>
      <c r="W183" s="19">
        <f>'Excess Power'!AB182</f>
        <v>16.537194149558616</v>
      </c>
      <c r="X183" s="34">
        <f t="shared" si="17"/>
        <v>5.4849706030515956E-2</v>
      </c>
    </row>
    <row r="184" spans="2:24" x14ac:dyDescent="0.3">
      <c r="B184" s="19">
        <f>'Excess Power'!F183</f>
        <v>65.493696306947541</v>
      </c>
      <c r="C184" s="19">
        <f>'Excess Power'!H183</f>
        <v>443.46532036970621</v>
      </c>
      <c r="D184" s="34">
        <f t="shared" si="12"/>
        <v>6.7911201214195556</v>
      </c>
      <c r="F184" s="19">
        <f>'Excess Power'!J183</f>
        <v>42.942382049395427</v>
      </c>
      <c r="G184" s="19">
        <f>'Excess Power'!L183</f>
        <v>446.99060492388458</v>
      </c>
      <c r="H184" s="34">
        <f t="shared" si="13"/>
        <v>10.439832109644199</v>
      </c>
      <c r="J184" s="19">
        <f>'Excess Power'!N183</f>
        <v>65.037893419944012</v>
      </c>
      <c r="K184" s="19">
        <f>'Excess Power'!P183</f>
        <v>443.56341387498884</v>
      </c>
      <c r="L184" s="34">
        <f t="shared" si="14"/>
        <v>6.8402268085582589</v>
      </c>
      <c r="N184" s="19">
        <f>'Excess Power'!R183</f>
        <v>86.317069958348526</v>
      </c>
      <c r="O184" s="19">
        <f>'Excess Power'!T183</f>
        <v>437.50770545762401</v>
      </c>
      <c r="P184" s="34">
        <f t="shared" si="15"/>
        <v>5.0835870827386911</v>
      </c>
      <c r="R184" s="19">
        <f>'Excess Power'!V183</f>
        <v>102.88994739035147</v>
      </c>
      <c r="S184" s="19">
        <f>'Excess Power'!X183</f>
        <v>430.34100181888925</v>
      </c>
      <c r="T184" s="34">
        <f t="shared" si="16"/>
        <v>4.1948943975278228</v>
      </c>
      <c r="V184" s="19">
        <f>'Excess Power'!Z183</f>
        <v>304.56070931728465</v>
      </c>
      <c r="W184" s="19">
        <f>'Excess Power'!AB183</f>
        <v>9.2497896827067621</v>
      </c>
      <c r="X184" s="34">
        <f t="shared" si="17"/>
        <v>3.0460654716641757E-2</v>
      </c>
    </row>
    <row r="185" spans="2:24" x14ac:dyDescent="0.3">
      <c r="B185" s="19">
        <f>'Excess Power'!F184</f>
        <v>65.843642203655264</v>
      </c>
      <c r="C185" s="19">
        <f>'Excess Power'!H184</f>
        <v>444.04345769355939</v>
      </c>
      <c r="D185" s="34">
        <f t="shared" si="12"/>
        <v>6.7638330652429337</v>
      </c>
      <c r="F185" s="19">
        <f>'Excess Power'!J184</f>
        <v>43.171831771130663</v>
      </c>
      <c r="G185" s="19">
        <f>'Excess Power'!L184</f>
        <v>447.62096627943248</v>
      </c>
      <c r="H185" s="34">
        <f t="shared" si="13"/>
        <v>10.39899083158488</v>
      </c>
      <c r="J185" s="19">
        <f>'Excess Power'!N184</f>
        <v>65.385403870814812</v>
      </c>
      <c r="K185" s="19">
        <f>'Excess Power'!P184</f>
        <v>444.14303929651555</v>
      </c>
      <c r="L185" s="34">
        <f t="shared" si="14"/>
        <v>6.8127633037878796</v>
      </c>
      <c r="N185" s="19">
        <f>'Excess Power'!R184</f>
        <v>86.778279298346547</v>
      </c>
      <c r="O185" s="19">
        <f>'Excess Power'!T184</f>
        <v>437.99406927676165</v>
      </c>
      <c r="P185" s="34">
        <f t="shared" si="15"/>
        <v>5.0621900574102678</v>
      </c>
      <c r="R185" s="19">
        <f>'Excess Power'!V184</f>
        <v>103.43970892362908</v>
      </c>
      <c r="S185" s="19">
        <f>'Excess Power'!X184</f>
        <v>430.71524255648916</v>
      </c>
      <c r="T185" s="34">
        <f t="shared" si="16"/>
        <v>4.1762280154667701</v>
      </c>
      <c r="V185" s="19">
        <f>'Excess Power'!Z184</f>
        <v>306.18803799979588</v>
      </c>
      <c r="W185" s="19">
        <f>'Excess Power'!AB184</f>
        <v>2.879000168900518</v>
      </c>
      <c r="X185" s="34">
        <f t="shared" si="17"/>
        <v>9.4305000437838911E-3</v>
      </c>
    </row>
    <row r="186" spans="2:24" x14ac:dyDescent="0.3">
      <c r="B186" s="19">
        <f>'Excess Power'!F185</f>
        <v>66.018615152009104</v>
      </c>
      <c r="C186" s="19">
        <f>'Excess Power'!H185</f>
        <v>444.66029787258827</v>
      </c>
      <c r="D186" s="34">
        <f t="shared" si="12"/>
        <v>6.7552775214630136</v>
      </c>
      <c r="F186" s="19">
        <f>'Excess Power'!J185</f>
        <v>43.286556631998273</v>
      </c>
      <c r="G186" s="19">
        <f>'Excess Power'!L185</f>
        <v>448.26411845923764</v>
      </c>
      <c r="H186" s="34">
        <f t="shared" si="13"/>
        <v>10.386331696352176</v>
      </c>
      <c r="J186" s="19">
        <f>'Excess Power'!N185</f>
        <v>65.559159096250212</v>
      </c>
      <c r="K186" s="19">
        <f>'Excess Power'!P185</f>
        <v>444.76062929830942</v>
      </c>
      <c r="L186" s="34">
        <f t="shared" si="14"/>
        <v>6.8041552232093476</v>
      </c>
      <c r="N186" s="19">
        <f>'Excess Power'!R185</f>
        <v>87.008883968345529</v>
      </c>
      <c r="O186" s="19">
        <f>'Excess Power'!T185</f>
        <v>438.56466367179172</v>
      </c>
      <c r="P186" s="34">
        <f t="shared" si="15"/>
        <v>5.0553507049394169</v>
      </c>
      <c r="R186" s="19">
        <f>'Excess Power'!V185</f>
        <v>103.71458969026789</v>
      </c>
      <c r="S186" s="19">
        <f>'Excess Power'!X185</f>
        <v>431.22933318611183</v>
      </c>
      <c r="T186" s="34">
        <f t="shared" si="16"/>
        <v>4.1701309443923655</v>
      </c>
      <c r="V186" s="19">
        <f>'Excess Power'!Z185</f>
        <v>307.00170234105144</v>
      </c>
      <c r="W186" s="19">
        <f>'Excess Power'!AB185</f>
        <v>-6.3486899442182221E-3</v>
      </c>
      <c r="X186" s="34">
        <f t="shared" si="17"/>
        <v>-2.0740756121806664E-5</v>
      </c>
    </row>
    <row r="187" spans="2:24" x14ac:dyDescent="0.3">
      <c r="B187" s="19">
        <f>'Excess Power'!F186</f>
        <v>66.251912416480906</v>
      </c>
      <c r="C187" s="19">
        <f>'Excess Power'!H186</f>
        <v>443.95366153802695</v>
      </c>
      <c r="D187" s="34">
        <f t="shared" si="12"/>
        <v>6.7207922997251952</v>
      </c>
      <c r="F187" s="19">
        <f>'Excess Power'!J186</f>
        <v>43.439523113155097</v>
      </c>
      <c r="G187" s="19">
        <f>'Excess Power'!L186</f>
        <v>447.5927729809286</v>
      </c>
      <c r="H187" s="34">
        <f t="shared" si="13"/>
        <v>10.334257238608558</v>
      </c>
      <c r="J187" s="19">
        <f>'Excess Power'!N186</f>
        <v>65.790832730164084</v>
      </c>
      <c r="K187" s="19">
        <f>'Excess Power'!P186</f>
        <v>444.05499873821634</v>
      </c>
      <c r="L187" s="34">
        <f t="shared" si="14"/>
        <v>6.7694382474674573</v>
      </c>
      <c r="N187" s="19">
        <f>'Excess Power'!R186</f>
        <v>87.316356861677519</v>
      </c>
      <c r="O187" s="19">
        <f>'Excess Power'!T186</f>
        <v>437.79599253234903</v>
      </c>
      <c r="P187" s="34">
        <f t="shared" si="15"/>
        <v>5.0287196634610947</v>
      </c>
      <c r="R187" s="19">
        <f>'Excess Power'!V186</f>
        <v>104.08109737911963</v>
      </c>
      <c r="S187" s="19">
        <f>'Excess Power'!X186</f>
        <v>430.38486332756878</v>
      </c>
      <c r="T187" s="34">
        <f t="shared" si="16"/>
        <v>4.147308837424073</v>
      </c>
      <c r="V187" s="19">
        <f>'Excess Power'!Z186</f>
        <v>308.08658812939223</v>
      </c>
      <c r="W187" s="19">
        <f>'Excess Power'!AB186</f>
        <v>-5.4114333655318774</v>
      </c>
      <c r="X187" s="34">
        <f t="shared" si="17"/>
        <v>-1.7616546453184587E-2</v>
      </c>
    </row>
    <row r="188" spans="2:24" x14ac:dyDescent="0.3">
      <c r="B188" s="19">
        <f>'Excess Power'!F187</f>
        <v>66.485209680952735</v>
      </c>
      <c r="C188" s="19">
        <f>'Excess Power'!H187</f>
        <v>443.24759280869335</v>
      </c>
      <c r="D188" s="34">
        <f t="shared" si="12"/>
        <v>6.6865576585016795</v>
      </c>
      <c r="F188" s="19">
        <f>'Excess Power'!J187</f>
        <v>43.592489594311921</v>
      </c>
      <c r="G188" s="19">
        <f>'Excess Power'!L187</f>
        <v>446.92223380812459</v>
      </c>
      <c r="H188" s="34">
        <f t="shared" si="13"/>
        <v>10.282566791529286</v>
      </c>
      <c r="J188" s="19">
        <f>'Excess Power'!N187</f>
        <v>66.022506364077941</v>
      </c>
      <c r="K188" s="19">
        <f>'Excess Power'!P187</f>
        <v>443.34994267506158</v>
      </c>
      <c r="L188" s="34">
        <f t="shared" si="14"/>
        <v>6.7349736433953273</v>
      </c>
      <c r="N188" s="19">
        <f>'Excess Power'!R187</f>
        <v>87.623829755009538</v>
      </c>
      <c r="O188" s="19">
        <f>'Excess Power'!T187</f>
        <v>437.02746046108001</v>
      </c>
      <c r="P188" s="34">
        <f t="shared" si="15"/>
        <v>5.002277110957225</v>
      </c>
      <c r="R188" s="19">
        <f>'Excess Power'!V187</f>
        <v>104.44760506797138</v>
      </c>
      <c r="S188" s="19">
        <f>'Excess Power'!X187</f>
        <v>429.54000470170485</v>
      </c>
      <c r="T188" s="34">
        <f t="shared" si="16"/>
        <v>4.1246431633332712</v>
      </c>
      <c r="V188" s="19">
        <f>'Excess Power'!Z187</f>
        <v>309.17147391773312</v>
      </c>
      <c r="W188" s="19">
        <f>'Excess Power'!AB187</f>
        <v>-10.849043494407965</v>
      </c>
      <c r="X188" s="34">
        <f t="shared" si="17"/>
        <v>-3.5194377245314247E-2</v>
      </c>
    </row>
    <row r="189" spans="2:24" x14ac:dyDescent="0.3">
      <c r="B189" s="19">
        <f>'Excess Power'!F188</f>
        <v>66.660182629306576</v>
      </c>
      <c r="C189" s="19">
        <f>'Excess Power'!H188</f>
        <v>443.2085474235048</v>
      </c>
      <c r="D189" s="34">
        <f t="shared" si="12"/>
        <v>6.6684189825078892</v>
      </c>
      <c r="F189" s="19">
        <f>'Excess Power'!J188</f>
        <v>43.707214455179532</v>
      </c>
      <c r="G189" s="19">
        <f>'Excess Power'!L188</f>
        <v>446.90999274303425</v>
      </c>
      <c r="H189" s="34">
        <f t="shared" si="13"/>
        <v>10.255295703878161</v>
      </c>
      <c r="J189" s="19">
        <f>'Excess Power'!N188</f>
        <v>66.196261589513355</v>
      </c>
      <c r="K189" s="19">
        <f>'Excess Power'!P188</f>
        <v>443.31166132679118</v>
      </c>
      <c r="L189" s="34">
        <f t="shared" si="14"/>
        <v>6.716715341688527</v>
      </c>
      <c r="N189" s="19">
        <f>'Excess Power'!R188</f>
        <v>87.85443442500852</v>
      </c>
      <c r="O189" s="19">
        <f>'Excess Power'!T188</f>
        <v>436.94128543421874</v>
      </c>
      <c r="P189" s="34">
        <f t="shared" si="15"/>
        <v>4.9881631040157846</v>
      </c>
      <c r="R189" s="19">
        <f>'Excess Power'!V188</f>
        <v>104.72248583461018</v>
      </c>
      <c r="S189" s="19">
        <f>'Excess Power'!X188</f>
        <v>429.39623724872843</v>
      </c>
      <c r="T189" s="34">
        <f t="shared" si="16"/>
        <v>4.1124396973334489</v>
      </c>
      <c r="V189" s="19">
        <f>'Excess Power'!Z188</f>
        <v>309.98513825898868</v>
      </c>
      <c r="W189" s="19">
        <f>'Excess Power'!AB188</f>
        <v>-14.458532350659084</v>
      </c>
      <c r="X189" s="34">
        <f t="shared" si="17"/>
        <v>-4.6780470906252002E-2</v>
      </c>
    </row>
    <row r="190" spans="2:24" x14ac:dyDescent="0.3">
      <c r="B190" s="19">
        <f>'Excess Power'!F189</f>
        <v>67.010128526014299</v>
      </c>
      <c r="C190" s="19">
        <f>'Excess Power'!H189</f>
        <v>441.82129178656669</v>
      </c>
      <c r="D190" s="34">
        <f t="shared" si="12"/>
        <v>6.6128312633202588</v>
      </c>
      <c r="F190" s="19">
        <f>'Excess Power'!J189</f>
        <v>43.936664176914768</v>
      </c>
      <c r="G190" s="19">
        <f>'Excess Power'!L189</f>
        <v>445.57675138987076</v>
      </c>
      <c r="H190" s="34">
        <f t="shared" si="13"/>
        <v>10.171305367104948</v>
      </c>
      <c r="J190" s="19">
        <f>'Excess Power'!N189</f>
        <v>66.543772040384169</v>
      </c>
      <c r="K190" s="19">
        <f>'Excess Power'!P189</f>
        <v>441.9259454753564</v>
      </c>
      <c r="L190" s="34">
        <f t="shared" si="14"/>
        <v>6.6607530979731262</v>
      </c>
      <c r="N190" s="19">
        <f>'Excess Power'!R189</f>
        <v>88.315643765006527</v>
      </c>
      <c r="O190" s="19">
        <f>'Excess Power'!T189</f>
        <v>435.45904226466001</v>
      </c>
      <c r="P190" s="34">
        <f t="shared" si="15"/>
        <v>4.9452804416025362</v>
      </c>
      <c r="R190" s="19">
        <f>'Excess Power'!V189</f>
        <v>105.27224736788781</v>
      </c>
      <c r="S190" s="19">
        <f>'Excess Power'!X189</f>
        <v>427.79791223142229</v>
      </c>
      <c r="T190" s="34">
        <f t="shared" si="16"/>
        <v>4.0757357360203024</v>
      </c>
      <c r="V190" s="19">
        <f>'Excess Power'!Z189</f>
        <v>311.61246694149992</v>
      </c>
      <c r="W190" s="19">
        <f>'Excess Power'!AB189</f>
        <v>-23.04291276412556</v>
      </c>
      <c r="X190" s="34">
        <f t="shared" si="17"/>
        <v>-7.4165819885604903E-2</v>
      </c>
    </row>
    <row r="191" spans="2:24" x14ac:dyDescent="0.3">
      <c r="B191" s="19">
        <f>'Excess Power'!F190</f>
        <v>67.360074422722008</v>
      </c>
      <c r="C191" s="19">
        <f>'Excess Power'!H190</f>
        <v>441.08667970222842</v>
      </c>
      <c r="D191" s="34">
        <f t="shared" si="12"/>
        <v>6.5675386219225373</v>
      </c>
      <c r="F191" s="19">
        <f>'Excess Power'!J190</f>
        <v>44.166113898649996</v>
      </c>
      <c r="G191" s="19">
        <f>'Excess Power'!L190</f>
        <v>444.89669681146142</v>
      </c>
      <c r="H191" s="34">
        <f t="shared" si="13"/>
        <v>10.103020730977356</v>
      </c>
      <c r="J191" s="19">
        <f>'Excess Power'!N190</f>
        <v>66.891282491254955</v>
      </c>
      <c r="K191" s="19">
        <f>'Excess Power'!P190</f>
        <v>441.19288886033183</v>
      </c>
      <c r="L191" s="34">
        <f t="shared" si="14"/>
        <v>6.6151581614919968</v>
      </c>
      <c r="N191" s="19">
        <f>'Excess Power'!R190</f>
        <v>88.77685310500452</v>
      </c>
      <c r="O191" s="19">
        <f>'Excess Power'!T190</f>
        <v>434.62846740450368</v>
      </c>
      <c r="P191" s="34">
        <f t="shared" si="15"/>
        <v>4.9102055515720515</v>
      </c>
      <c r="R191" s="19">
        <f>'Excess Power'!V190</f>
        <v>105.82200890116542</v>
      </c>
      <c r="S191" s="19">
        <f>'Excess Power'!X190</f>
        <v>426.85005430189551</v>
      </c>
      <c r="T191" s="34">
        <f t="shared" si="16"/>
        <v>4.0455781045458012</v>
      </c>
      <c r="V191" s="19">
        <f>'Excess Power'!Z190</f>
        <v>313.23979562401109</v>
      </c>
      <c r="W191" s="19">
        <f>'Excess Power'!AB190</f>
        <v>-31.049961152660444</v>
      </c>
      <c r="X191" s="34">
        <f t="shared" si="17"/>
        <v>-9.9418081959253821E-2</v>
      </c>
    </row>
    <row r="192" spans="2:24" x14ac:dyDescent="0.3">
      <c r="B192" s="19">
        <f>'Excess Power'!F191</f>
        <v>67.65169600331177</v>
      </c>
      <c r="C192" s="19">
        <f>'Excess Power'!H191</f>
        <v>441.01992227350962</v>
      </c>
      <c r="D192" s="34">
        <f t="shared" si="12"/>
        <v>6.5382386815339224</v>
      </c>
      <c r="F192" s="19">
        <f>'Excess Power'!J191</f>
        <v>44.357322000096026</v>
      </c>
      <c r="G192" s="19">
        <f>'Excess Power'!L191</f>
        <v>444.87582097903913</v>
      </c>
      <c r="H192" s="34">
        <f t="shared" si="13"/>
        <v>10.058998305010027</v>
      </c>
      <c r="J192" s="19">
        <f>'Excess Power'!N191</f>
        <v>67.180874533647298</v>
      </c>
      <c r="K192" s="19">
        <f>'Excess Power'!P191</f>
        <v>441.12743969582027</v>
      </c>
      <c r="L192" s="34">
        <f t="shared" si="14"/>
        <v>6.585665546018741</v>
      </c>
      <c r="N192" s="19">
        <f>'Excess Power'!R191</f>
        <v>89.161194221669533</v>
      </c>
      <c r="O192" s="19">
        <f>'Excess Power'!T191</f>
        <v>434.48099234414843</v>
      </c>
      <c r="P192" s="34">
        <f t="shared" si="15"/>
        <v>4.8873805469875373</v>
      </c>
      <c r="R192" s="19">
        <f>'Excess Power'!V191</f>
        <v>106.28014351223008</v>
      </c>
      <c r="S192" s="19">
        <f>'Excess Power'!X191</f>
        <v>426.60392122480113</v>
      </c>
      <c r="T192" s="34">
        <f t="shared" si="16"/>
        <v>4.0258163732335479</v>
      </c>
      <c r="V192" s="19">
        <f>'Excess Power'!Z191</f>
        <v>314.59590285943716</v>
      </c>
      <c r="W192" s="19">
        <f>'Excess Power'!AB191</f>
        <v>-37.234895552599653</v>
      </c>
      <c r="X192" s="34">
        <f t="shared" si="17"/>
        <v>-0.11870754642564728</v>
      </c>
    </row>
    <row r="193" spans="2:24" x14ac:dyDescent="0.3">
      <c r="B193" s="19">
        <f>'Excess Power'!F192</f>
        <v>67.943317583901532</v>
      </c>
      <c r="C193" s="19">
        <f>'Excess Power'!H192</f>
        <v>439.64403450467358</v>
      </c>
      <c r="D193" s="34">
        <f t="shared" si="12"/>
        <v>6.4898653534827435</v>
      </c>
      <c r="F193" s="19">
        <f>'Excess Power'!J192</f>
        <v>44.548530101542056</v>
      </c>
      <c r="G193" s="19">
        <f>'Excess Power'!L192</f>
        <v>443.54619565585</v>
      </c>
      <c r="H193" s="34">
        <f t="shared" si="13"/>
        <v>9.9858889179534831</v>
      </c>
      <c r="J193" s="19">
        <f>'Excess Power'!N192</f>
        <v>67.470466576039641</v>
      </c>
      <c r="K193" s="19">
        <f>'Excess Power'!P192</f>
        <v>439.75287118700408</v>
      </c>
      <c r="L193" s="34">
        <f t="shared" si="14"/>
        <v>6.536965926219354</v>
      </c>
      <c r="N193" s="19">
        <f>'Excess Power'!R192</f>
        <v>89.545535338334531</v>
      </c>
      <c r="O193" s="19">
        <f>'Excess Power'!T192</f>
        <v>433.02370320731643</v>
      </c>
      <c r="P193" s="34">
        <f t="shared" si="15"/>
        <v>4.8500809088961079</v>
      </c>
      <c r="R193" s="19">
        <f>'Excess Power'!V192</f>
        <v>106.73827812329478</v>
      </c>
      <c r="S193" s="19">
        <f>'Excess Power'!X192</f>
        <v>425.04713190293626</v>
      </c>
      <c r="T193" s="34">
        <f t="shared" si="16"/>
        <v>3.9939088438548689</v>
      </c>
      <c r="V193" s="19">
        <f>'Excess Power'!Z192</f>
        <v>315.95201009486311</v>
      </c>
      <c r="W193" s="19">
        <f>'Excess Power'!AB192</f>
        <v>-44.781760691468889</v>
      </c>
      <c r="X193" s="34">
        <f t="shared" si="17"/>
        <v>-0.14215472288174769</v>
      </c>
    </row>
    <row r="194" spans="2:24" x14ac:dyDescent="0.3">
      <c r="B194" s="19">
        <f>'Excess Power'!F193</f>
        <v>68.351587796727202</v>
      </c>
      <c r="C194" s="19">
        <f>'Excess Power'!H193</f>
        <v>438.89373630416941</v>
      </c>
      <c r="D194" s="34">
        <f t="shared" si="12"/>
        <v>6.4400913276058889</v>
      </c>
      <c r="F194" s="19">
        <f>'Excess Power'!J193</f>
        <v>44.816221443566491</v>
      </c>
      <c r="G194" s="19">
        <f>'Excess Power'!L193</f>
        <v>442.86130783195983</v>
      </c>
      <c r="H194" s="34">
        <f t="shared" si="13"/>
        <v>9.9109150077571027</v>
      </c>
      <c r="J194" s="19">
        <f>'Excess Power'!N193</f>
        <v>67.875895435388927</v>
      </c>
      <c r="K194" s="19">
        <f>'Excess Power'!P193</f>
        <v>439.00443851374041</v>
      </c>
      <c r="L194" s="34">
        <f t="shared" si="14"/>
        <v>6.4868609726290751</v>
      </c>
      <c r="N194" s="19">
        <f>'Excess Power'!R193</f>
        <v>90.083612901665532</v>
      </c>
      <c r="O194" s="19">
        <f>'Excess Power'!T193</f>
        <v>432.15828880280594</v>
      </c>
      <c r="P194" s="34">
        <f t="shared" si="15"/>
        <v>4.8114757628978131</v>
      </c>
      <c r="R194" s="19">
        <f>'Excess Power'!V193</f>
        <v>107.37966657878532</v>
      </c>
      <c r="S194" s="19">
        <f>'Excess Power'!X193</f>
        <v>424.04099548459743</v>
      </c>
      <c r="T194" s="34">
        <f t="shared" si="16"/>
        <v>3.9606552844742344</v>
      </c>
      <c r="V194" s="19">
        <f>'Excess Power'!Z193</f>
        <v>317.85056022445951</v>
      </c>
      <c r="W194" s="19">
        <f>'Excess Power'!AB193</f>
        <v>-54.260565236328318</v>
      </c>
      <c r="X194" s="34">
        <f t="shared" si="17"/>
        <v>-0.17121530477806135</v>
      </c>
    </row>
    <row r="195" spans="2:24" x14ac:dyDescent="0.3">
      <c r="B195" s="19">
        <f>'Excess Power'!F194</f>
        <v>68.64320937731695</v>
      </c>
      <c r="C195" s="19">
        <f>'Excess Power'!H194</f>
        <v>438.82516639175907</v>
      </c>
      <c r="D195" s="34">
        <f t="shared" si="12"/>
        <v>6.4117295692456295</v>
      </c>
      <c r="F195" s="19">
        <f>'Excess Power'!J194</f>
        <v>45.007429545012513</v>
      </c>
      <c r="G195" s="19">
        <f>'Excess Power'!L194</f>
        <v>442.83992110177951</v>
      </c>
      <c r="H195" s="34">
        <f t="shared" si="13"/>
        <v>9.8683332122658456</v>
      </c>
      <c r="J195" s="19">
        <f>'Excess Power'!N194</f>
        <v>68.165487477781241</v>
      </c>
      <c r="K195" s="19">
        <f>'Excess Power'!P194</f>
        <v>438.93721444468775</v>
      </c>
      <c r="L195" s="34">
        <f t="shared" si="14"/>
        <v>6.4583133002599284</v>
      </c>
      <c r="N195" s="19">
        <f>'Excess Power'!R194</f>
        <v>90.467954018330516</v>
      </c>
      <c r="O195" s="19">
        <f>'Excess Power'!T194</f>
        <v>432.00666453000576</v>
      </c>
      <c r="P195" s="34">
        <f t="shared" si="15"/>
        <v>4.7893538939681886</v>
      </c>
      <c r="R195" s="19">
        <f>'Excess Power'!V194</f>
        <v>107.83780118985</v>
      </c>
      <c r="S195" s="19">
        <f>'Excess Power'!X194</f>
        <v>423.78783501132602</v>
      </c>
      <c r="T195" s="34">
        <f t="shared" si="16"/>
        <v>3.9414744249529114</v>
      </c>
      <c r="V195" s="19">
        <f>'Excess Power'!Z194</f>
        <v>319.20666745988552</v>
      </c>
      <c r="W195" s="19">
        <f>'Excess Power'!AB194</f>
        <v>-60.62776209657244</v>
      </c>
      <c r="X195" s="34">
        <f t="shared" si="17"/>
        <v>-0.19049379531878258</v>
      </c>
    </row>
    <row r="196" spans="2:24" x14ac:dyDescent="0.3">
      <c r="B196" s="19">
        <f>'Excess Power'!F195</f>
        <v>68.993155274024673</v>
      </c>
      <c r="C196" s="19">
        <f>'Excess Power'!H195</f>
        <v>437.43357198671282</v>
      </c>
      <c r="D196" s="34">
        <f t="shared" si="12"/>
        <v>6.3589784757049408</v>
      </c>
      <c r="F196" s="19">
        <f>'Excess Power'!J195</f>
        <v>45.236879266747749</v>
      </c>
      <c r="G196" s="19">
        <f>'Excess Power'!L195</f>
        <v>441.50545674897774</v>
      </c>
      <c r="H196" s="34">
        <f t="shared" si="13"/>
        <v>9.7886925859376976</v>
      </c>
      <c r="J196" s="19">
        <f>'Excess Power'!N195</f>
        <v>68.512997928652069</v>
      </c>
      <c r="K196" s="19">
        <f>'Excess Power'!P195</f>
        <v>437.54724978304068</v>
      </c>
      <c r="L196" s="34">
        <f t="shared" si="14"/>
        <v>6.4052080085305034</v>
      </c>
      <c r="N196" s="19">
        <f>'Excess Power'!R195</f>
        <v>90.929163358328523</v>
      </c>
      <c r="O196" s="19">
        <f>'Excess Power'!T195</f>
        <v>430.51448887348749</v>
      </c>
      <c r="P196" s="34">
        <f t="shared" si="15"/>
        <v>4.7486026215609707</v>
      </c>
      <c r="R196" s="19">
        <f>'Excess Power'!V195</f>
        <v>108.38756272312762</v>
      </c>
      <c r="S196" s="19">
        <f>'Excess Power'!X195</f>
        <v>422.17268763994355</v>
      </c>
      <c r="T196" s="34">
        <f t="shared" si="16"/>
        <v>3.9065369254298625</v>
      </c>
      <c r="V196" s="19">
        <f>'Excess Power'!Z195</f>
        <v>320.83399614239676</v>
      </c>
      <c r="W196" s="19">
        <f>'Excess Power'!AB195</f>
        <v>-69.648446877240019</v>
      </c>
      <c r="X196" s="34">
        <f t="shared" si="17"/>
        <v>-0.21772700904293724</v>
      </c>
    </row>
    <row r="197" spans="2:24" x14ac:dyDescent="0.3">
      <c r="B197" s="19">
        <f>'Excess Power'!F196</f>
        <v>69.343101170732382</v>
      </c>
      <c r="C197" s="19">
        <f>'Excess Power'!H196</f>
        <v>436.69549874876333</v>
      </c>
      <c r="D197" s="34">
        <f t="shared" si="12"/>
        <v>6.3162121112990031</v>
      </c>
      <c r="F197" s="19">
        <f>'Excess Power'!J196</f>
        <v>45.466328988482978</v>
      </c>
      <c r="G197" s="19">
        <f>'Excess Power'!L196</f>
        <v>440.82507286096802</v>
      </c>
      <c r="H197" s="34">
        <f t="shared" si="13"/>
        <v>9.7242843311197138</v>
      </c>
      <c r="J197" s="19">
        <f>'Excess Power'!N196</f>
        <v>68.860508379522869</v>
      </c>
      <c r="K197" s="19">
        <f>'Excess Power'!P196</f>
        <v>436.8108224364309</v>
      </c>
      <c r="L197" s="34">
        <f t="shared" si="14"/>
        <v>6.362157500374126</v>
      </c>
      <c r="N197" s="19">
        <f>'Excess Power'!R196</f>
        <v>91.390372698326516</v>
      </c>
      <c r="O197" s="19">
        <f>'Excess Power'!T196</f>
        <v>429.67483028055466</v>
      </c>
      <c r="P197" s="34">
        <f t="shared" si="15"/>
        <v>4.7154236422671234</v>
      </c>
      <c r="R197" s="19">
        <f>'Excess Power'!V196</f>
        <v>108.93732425640522</v>
      </c>
      <c r="S197" s="19">
        <f>'Excess Power'!X196</f>
        <v>421.20882056284347</v>
      </c>
      <c r="T197" s="34">
        <f t="shared" si="16"/>
        <v>3.8779482060228112</v>
      </c>
      <c r="V197" s="19">
        <f>'Excess Power'!Z196</f>
        <v>322.46132482490799</v>
      </c>
      <c r="W197" s="19">
        <f>'Excess Power'!AB196</f>
        <v>-78.093150708038422</v>
      </c>
      <c r="X197" s="34">
        <f t="shared" si="17"/>
        <v>-0.242893874215839</v>
      </c>
    </row>
    <row r="198" spans="2:24" x14ac:dyDescent="0.3">
      <c r="B198" s="19">
        <f>'Excess Power'!F197</f>
        <v>69.692942167590971</v>
      </c>
      <c r="C198" s="19">
        <f>'Excess Power'!H197</f>
        <v>435.95576819174011</v>
      </c>
      <c r="D198" s="34">
        <f t="shared" si="12"/>
        <v>6.2738608204198281</v>
      </c>
      <c r="F198" s="19">
        <f>'Excess Power'!J197</f>
        <v>45.695709930325606</v>
      </c>
      <c r="G198" s="19">
        <f>'Excess Power'!L197</f>
        <v>440.14357624245287</v>
      </c>
      <c r="H198" s="34">
        <f t="shared" si="13"/>
        <v>9.660513013542797</v>
      </c>
      <c r="J198" s="19">
        <f>'Excess Power'!N197</f>
        <v>69.207914660594255</v>
      </c>
      <c r="K198" s="19">
        <f>'Excess Power'!P197</f>
        <v>436.07275349991545</v>
      </c>
      <c r="L198" s="34">
        <f t="shared" si="14"/>
        <v>6.3195250487823946</v>
      </c>
      <c r="N198" s="19">
        <f>'Excess Power'!R197</f>
        <v>91.851443786124278</v>
      </c>
      <c r="O198" s="19">
        <f>'Excess Power'!T197</f>
        <v>428.83253607752437</v>
      </c>
      <c r="P198" s="34">
        <f t="shared" si="15"/>
        <v>4.6825561316078872</v>
      </c>
      <c r="R198" s="19">
        <f>'Excess Power'!V197</f>
        <v>109.48692099306017</v>
      </c>
      <c r="S198" s="19">
        <f>'Excess Power'!X197</f>
        <v>420.24111262547461</v>
      </c>
      <c r="T198" s="34">
        <f t="shared" si="16"/>
        <v>3.8496171987639611</v>
      </c>
      <c r="V198" s="19">
        <f>'Excess Power'!Z197</f>
        <v>324.08816569906111</v>
      </c>
      <c r="W198" s="19">
        <f>'Excess Power'!AB197</f>
        <v>-86.615100154402569</v>
      </c>
      <c r="X198" s="34">
        <f t="shared" si="17"/>
        <v>-0.26804745621450632</v>
      </c>
    </row>
    <row r="199" spans="2:24" x14ac:dyDescent="0.3">
      <c r="B199" s="19">
        <f>'Excess Power'!F198</f>
        <v>70.101212380416627</v>
      </c>
      <c r="C199" s="19">
        <f>'Excess Power'!H198</f>
        <v>434.54752515491811</v>
      </c>
      <c r="D199" s="34">
        <f t="shared" si="12"/>
        <v>6.217173723116689</v>
      </c>
      <c r="F199" s="19">
        <f>'Excess Power'!J198</f>
        <v>45.96340127235004</v>
      </c>
      <c r="G199" s="19">
        <f>'Excess Power'!L198</f>
        <v>438.8040073330024</v>
      </c>
      <c r="H199" s="34">
        <f t="shared" si="13"/>
        <v>9.5750197229867187</v>
      </c>
      <c r="J199" s="19">
        <f>'Excess Power'!N198</f>
        <v>69.613343519943527</v>
      </c>
      <c r="K199" s="19">
        <f>'Excess Power'!P198</f>
        <v>434.66647022074739</v>
      </c>
      <c r="L199" s="34">
        <f t="shared" si="14"/>
        <v>6.2624590347349987</v>
      </c>
      <c r="N199" s="19">
        <f>'Excess Power'!R198</f>
        <v>92.389521349455293</v>
      </c>
      <c r="O199" s="19">
        <f>'Excess Power'!T198</f>
        <v>427.30331744620719</v>
      </c>
      <c r="P199" s="34">
        <f t="shared" si="15"/>
        <v>4.6386841089853403</v>
      </c>
      <c r="R199" s="19">
        <f>'Excess Power'!V198</f>
        <v>110.12830944855071</v>
      </c>
      <c r="S199" s="19">
        <f>'Excess Power'!X198</f>
        <v>418.56395488148524</v>
      </c>
      <c r="T199" s="34">
        <f t="shared" si="16"/>
        <v>3.8119228671891823</v>
      </c>
      <c r="V199" s="19">
        <f>'Excess Power'!Z198</f>
        <v>325.98671582865757</v>
      </c>
      <c r="W199" s="19">
        <f>'Excess Power'!AB198</f>
        <v>-97.204331183327895</v>
      </c>
      <c r="X199" s="34">
        <f t="shared" si="17"/>
        <v>-0.29906594675296649</v>
      </c>
    </row>
    <row r="200" spans="2:24" x14ac:dyDescent="0.3">
      <c r="B200" s="19">
        <f>'Excess Power'!F199</f>
        <v>70.392833961006389</v>
      </c>
      <c r="C200" s="19">
        <f>'Excess Power'!H199</f>
        <v>433.82139247191037</v>
      </c>
      <c r="D200" s="34">
        <f t="shared" si="12"/>
        <v>6.1810714672482874</v>
      </c>
      <c r="F200" s="19">
        <f>'Excess Power'!J199</f>
        <v>46.154609373796056</v>
      </c>
      <c r="G200" s="19">
        <f>'Excess Power'!L199</f>
        <v>438.12740090230773</v>
      </c>
      <c r="H200" s="34">
        <f t="shared" si="13"/>
        <v>9.5206497072561955</v>
      </c>
      <c r="J200" s="19">
        <f>'Excess Power'!N199</f>
        <v>69.902935562335855</v>
      </c>
      <c r="K200" s="19">
        <f>'Excess Power'!P199</f>
        <v>433.9417510297871</v>
      </c>
      <c r="L200" s="34">
        <f t="shared" si="14"/>
        <v>6.226116945685626</v>
      </c>
      <c r="N200" s="19">
        <f>'Excess Power'!R199</f>
        <v>92.773862466120278</v>
      </c>
      <c r="O200" s="19">
        <f>'Excess Power'!T199</f>
        <v>426.48992390434199</v>
      </c>
      <c r="P200" s="34">
        <f t="shared" si="15"/>
        <v>4.6106737005439573</v>
      </c>
      <c r="R200" s="19">
        <f>'Excess Power'!V199</f>
        <v>110.58644405961539</v>
      </c>
      <c r="S200" s="19">
        <f>'Excess Power'!X199</f>
        <v>417.64384393211321</v>
      </c>
      <c r="T200" s="34">
        <f t="shared" si="16"/>
        <v>3.7877860637874514</v>
      </c>
      <c r="V200" s="19">
        <f>'Excess Power'!Z199</f>
        <v>327.34282306408346</v>
      </c>
      <c r="W200" s="19">
        <f>'Excess Power'!AB199</f>
        <v>-104.55393063520887</v>
      </c>
      <c r="X200" s="34">
        <f t="shared" si="17"/>
        <v>-0.32034562112636611</v>
      </c>
    </row>
    <row r="201" spans="2:24" x14ac:dyDescent="0.3">
      <c r="B201" s="19">
        <f>'Excess Power'!F200</f>
        <v>70.859428489950005</v>
      </c>
      <c r="C201" s="19">
        <f>'Excess Power'!H200</f>
        <v>432.39581142449583</v>
      </c>
      <c r="D201" s="34">
        <f t="shared" si="12"/>
        <v>6.1201925240649171</v>
      </c>
      <c r="F201" s="19">
        <f>'Excess Power'!J200</f>
        <v>46.460542336109704</v>
      </c>
      <c r="G201" s="19">
        <f>'Excess Power'!L200</f>
        <v>436.78188680550988</v>
      </c>
      <c r="H201" s="34">
        <f t="shared" si="13"/>
        <v>9.4289122923845792</v>
      </c>
      <c r="J201" s="19">
        <f>'Excess Power'!N200</f>
        <v>70.366282830163613</v>
      </c>
      <c r="K201" s="19">
        <f>'Excess Power'!P200</f>
        <v>432.51845538736455</v>
      </c>
      <c r="L201" s="34">
        <f t="shared" si="14"/>
        <v>6.1648325501398054</v>
      </c>
      <c r="N201" s="19">
        <f>'Excess Power'!R200</f>
        <v>93.388808252784287</v>
      </c>
      <c r="O201" s="19">
        <f>'Excess Power'!T200</f>
        <v>424.92324446092795</v>
      </c>
      <c r="P201" s="34">
        <f t="shared" si="15"/>
        <v>4.5634879325989761</v>
      </c>
      <c r="R201" s="19">
        <f>'Excess Power'!V200</f>
        <v>111.31945943731888</v>
      </c>
      <c r="S201" s="19">
        <f>'Excess Power'!X200</f>
        <v>415.90459243996668</v>
      </c>
      <c r="T201" s="34">
        <f t="shared" si="16"/>
        <v>3.7471741559970644</v>
      </c>
      <c r="V201" s="19">
        <f>'Excess Power'!Z200</f>
        <v>329.51259464076514</v>
      </c>
      <c r="W201" s="19">
        <f>'Excess Power'!AB200</f>
        <v>-116.69142795076783</v>
      </c>
      <c r="X201" s="34">
        <f t="shared" si="17"/>
        <v>-0.35517974117619733</v>
      </c>
    </row>
    <row r="202" spans="2:24" x14ac:dyDescent="0.3">
      <c r="B202" s="19">
        <f>'Excess Power'!F201</f>
        <v>71.151050070539753</v>
      </c>
      <c r="C202" s="19">
        <f>'Excess Power'!H201</f>
        <v>431.6682392319176</v>
      </c>
      <c r="D202" s="34">
        <f t="shared" si="12"/>
        <v>6.0848521875191981</v>
      </c>
      <c r="F202" s="19">
        <f>'Excess Power'!J201</f>
        <v>46.651750437555741</v>
      </c>
      <c r="G202" s="19">
        <f>'Excess Power'!L201</f>
        <v>436.10487460994369</v>
      </c>
      <c r="H202" s="34">
        <f t="shared" si="13"/>
        <v>9.3757117832135162</v>
      </c>
      <c r="J202" s="19">
        <f>'Excess Power'!N201</f>
        <v>70.655874872555955</v>
      </c>
      <c r="K202" s="19">
        <f>'Excess Power'!P201</f>
        <v>431.79232653292115</v>
      </c>
      <c r="L202" s="34">
        <f t="shared" si="14"/>
        <v>6.129257862417302</v>
      </c>
      <c r="N202" s="19">
        <f>'Excess Power'!R201</f>
        <v>93.773149369449285</v>
      </c>
      <c r="O202" s="19">
        <f>'Excess Power'!T201</f>
        <v>424.10655553436357</v>
      </c>
      <c r="P202" s="34">
        <f t="shared" si="15"/>
        <v>4.5360489702059645</v>
      </c>
      <c r="R202" s="19">
        <f>'Excess Power'!V201</f>
        <v>111.77759404838356</v>
      </c>
      <c r="S202" s="19">
        <f>'Excess Power'!X201</f>
        <v>414.97890019676015</v>
      </c>
      <c r="T202" s="34">
        <f t="shared" si="16"/>
        <v>3.7235098658494303</v>
      </c>
      <c r="V202" s="19">
        <f>'Excess Power'!Z201</f>
        <v>330.86870187619115</v>
      </c>
      <c r="W202" s="19">
        <f>'Excess Power'!AB201</f>
        <v>-124.18578377048948</v>
      </c>
      <c r="X202" s="34">
        <f t="shared" si="17"/>
        <v>-0.37644145731273954</v>
      </c>
    </row>
  </sheetData>
  <mergeCells count="7">
    <mergeCell ref="B2:C2"/>
    <mergeCell ref="V11:X11"/>
    <mergeCell ref="B11:D11"/>
    <mergeCell ref="J11:L11"/>
    <mergeCell ref="F11:H11"/>
    <mergeCell ref="N11:P11"/>
    <mergeCell ref="R11:T1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6CEB-392C-4C9A-8236-4765D860BF03}">
  <sheetPr codeName="Sheet5"/>
  <dimension ref="B2:AB201"/>
  <sheetViews>
    <sheetView tabSelected="1" zoomScale="55" zoomScaleNormal="55" workbookViewId="0">
      <selection activeCell="K4" sqref="K4"/>
    </sheetView>
  </sheetViews>
  <sheetFormatPr defaultRowHeight="14.4" x14ac:dyDescent="0.3"/>
  <cols>
    <col min="2" max="2" width="17.5546875" bestFit="1" customWidth="1"/>
    <col min="3" max="3" width="17.6640625" bestFit="1" customWidth="1"/>
    <col min="4" max="4" width="20.5546875" bestFit="1" customWidth="1"/>
    <col min="5" max="5" width="20.21875" bestFit="1" customWidth="1"/>
    <col min="6" max="6" width="26" bestFit="1" customWidth="1"/>
    <col min="7" max="7" width="25.33203125" bestFit="1" customWidth="1"/>
    <col min="8" max="8" width="22.88671875" bestFit="1" customWidth="1"/>
    <col min="9" max="9" width="13.33203125" bestFit="1" customWidth="1"/>
    <col min="10" max="10" width="26" bestFit="1" customWidth="1"/>
    <col min="11" max="11" width="25.33203125" bestFit="1" customWidth="1"/>
    <col min="12" max="12" width="22.88671875" bestFit="1" customWidth="1"/>
    <col min="13" max="13" width="11.21875" bestFit="1" customWidth="1"/>
    <col min="14" max="14" width="26" bestFit="1" customWidth="1"/>
    <col min="15" max="15" width="25.33203125" bestFit="1" customWidth="1"/>
    <col min="16" max="16" width="22.88671875" bestFit="1" customWidth="1"/>
    <col min="18" max="18" width="26" bestFit="1" customWidth="1"/>
    <col min="19" max="19" width="25.33203125" bestFit="1" customWidth="1"/>
    <col min="20" max="20" width="22.88671875" bestFit="1" customWidth="1"/>
    <col min="21" max="21" width="10" bestFit="1" customWidth="1"/>
    <col min="22" max="22" width="26" bestFit="1" customWidth="1"/>
    <col min="23" max="23" width="25.33203125" bestFit="1" customWidth="1"/>
    <col min="24" max="24" width="22.88671875" bestFit="1" customWidth="1"/>
    <col min="26" max="26" width="26" bestFit="1" customWidth="1"/>
    <col min="27" max="27" width="25.33203125" bestFit="1" customWidth="1"/>
    <col min="28" max="28" width="22.88671875" bestFit="1" customWidth="1"/>
  </cols>
  <sheetData>
    <row r="2" spans="2:28" ht="21" x14ac:dyDescent="0.3">
      <c r="B2" s="40" t="s">
        <v>17</v>
      </c>
      <c r="C2" s="41"/>
      <c r="E2" s="37" t="s">
        <v>35</v>
      </c>
      <c r="F2" s="38"/>
    </row>
    <row r="3" spans="2:28" ht="36" x14ac:dyDescent="0.3">
      <c r="B3" s="23" t="s">
        <v>3</v>
      </c>
      <c r="C3" s="29">
        <v>0.9</v>
      </c>
      <c r="E3" s="28" t="s">
        <v>29</v>
      </c>
      <c r="F3" s="32">
        <f>1.6*$C$6</f>
        <v>2640</v>
      </c>
    </row>
    <row r="4" spans="2:28" ht="36" x14ac:dyDescent="0.35">
      <c r="B4" s="24" t="s">
        <v>16</v>
      </c>
      <c r="C4" s="29">
        <v>0.34526499999999999</v>
      </c>
      <c r="E4" s="28" t="s">
        <v>30</v>
      </c>
      <c r="F4" s="32">
        <f>1.5*$C$6</f>
        <v>2475</v>
      </c>
    </row>
    <row r="5" spans="2:28" ht="18" x14ac:dyDescent="0.35">
      <c r="B5" s="25" t="s">
        <v>13</v>
      </c>
      <c r="C5" s="30" t="s">
        <v>12</v>
      </c>
      <c r="E5" s="28" t="s">
        <v>31</v>
      </c>
      <c r="F5" s="32">
        <f>1.4*$C$6</f>
        <v>2310</v>
      </c>
    </row>
    <row r="6" spans="2:28" ht="18" x14ac:dyDescent="0.35">
      <c r="B6" s="26" t="s">
        <v>28</v>
      </c>
      <c r="C6" s="31">
        <v>1650</v>
      </c>
      <c r="E6" s="28" t="s">
        <v>32</v>
      </c>
      <c r="F6" s="32">
        <f>1.3*$C$6</f>
        <v>2145</v>
      </c>
    </row>
    <row r="7" spans="2:28" ht="18" x14ac:dyDescent="0.35">
      <c r="B7" s="27" t="s">
        <v>18</v>
      </c>
      <c r="C7" s="31">
        <v>50</v>
      </c>
      <c r="E7" s="28" t="s">
        <v>33</v>
      </c>
      <c r="F7" s="32">
        <f>1.2*$C$6</f>
        <v>1980</v>
      </c>
    </row>
    <row r="8" spans="2:28" ht="18" x14ac:dyDescent="0.35">
      <c r="B8" s="27" t="s">
        <v>19</v>
      </c>
      <c r="C8" s="31">
        <v>0.5272</v>
      </c>
      <c r="E8" s="28" t="s">
        <v>34</v>
      </c>
      <c r="F8" s="32">
        <f>1.1*$C$6</f>
        <v>1815.0000000000002</v>
      </c>
    </row>
    <row r="10" spans="2:28" x14ac:dyDescent="0.3">
      <c r="B10" s="42" t="s">
        <v>20</v>
      </c>
      <c r="C10" s="42"/>
      <c r="D10" s="42"/>
      <c r="F10" s="39" t="s">
        <v>23</v>
      </c>
      <c r="G10" s="39"/>
      <c r="H10" s="33">
        <v>0.24660912453760792</v>
      </c>
      <c r="J10" s="39" t="s">
        <v>22</v>
      </c>
      <c r="K10" s="39"/>
      <c r="L10" s="21">
        <v>0.16169469490818028</v>
      </c>
      <c r="N10" s="39" t="s">
        <v>24</v>
      </c>
      <c r="O10" s="39"/>
      <c r="P10" s="21">
        <v>0.2448928501896333</v>
      </c>
      <c r="R10" s="39" t="s">
        <v>25</v>
      </c>
      <c r="S10" s="39"/>
      <c r="T10" s="21">
        <v>0.3250171887583892</v>
      </c>
      <c r="V10" s="39" t="s">
        <v>26</v>
      </c>
      <c r="W10" s="39"/>
      <c r="X10" s="21">
        <v>0.38742048900000003</v>
      </c>
      <c r="Z10" s="39" t="s">
        <v>4</v>
      </c>
      <c r="AA10" s="39"/>
      <c r="AB10" s="33">
        <v>1.1467889908256881</v>
      </c>
    </row>
    <row r="11" spans="2:28" x14ac:dyDescent="0.3">
      <c r="B11" s="20" t="s">
        <v>1</v>
      </c>
      <c r="C11" s="20" t="s">
        <v>8</v>
      </c>
      <c r="D11" s="20" t="s">
        <v>9</v>
      </c>
      <c r="F11" s="20" t="s">
        <v>6</v>
      </c>
      <c r="G11" s="20" t="s">
        <v>11</v>
      </c>
      <c r="H11" s="20" t="s">
        <v>21</v>
      </c>
      <c r="J11" s="20" t="s">
        <v>6</v>
      </c>
      <c r="K11" s="20" t="s">
        <v>11</v>
      </c>
      <c r="L11" s="20" t="s">
        <v>21</v>
      </c>
      <c r="N11" s="20" t="s">
        <v>6</v>
      </c>
      <c r="O11" s="20" t="s">
        <v>11</v>
      </c>
      <c r="P11" s="20" t="s">
        <v>21</v>
      </c>
      <c r="R11" s="20" t="s">
        <v>6</v>
      </c>
      <c r="S11" s="20" t="s">
        <v>11</v>
      </c>
      <c r="T11" s="20" t="s">
        <v>21</v>
      </c>
      <c r="V11" s="20" t="s">
        <v>6</v>
      </c>
      <c r="W11" s="20" t="s">
        <v>11</v>
      </c>
      <c r="X11" s="20" t="s">
        <v>21</v>
      </c>
      <c r="Z11" s="20" t="s">
        <v>6</v>
      </c>
      <c r="AA11" s="20" t="s">
        <v>11</v>
      </c>
      <c r="AB11" s="20" t="s">
        <v>21</v>
      </c>
    </row>
    <row r="12" spans="2:28" x14ac:dyDescent="0.3">
      <c r="B12" s="10">
        <v>1000.4</v>
      </c>
      <c r="C12" s="10">
        <v>40.7273</v>
      </c>
      <c r="D12" s="10">
        <f>C12*$C$3</f>
        <v>36.65457</v>
      </c>
      <c r="F12" s="19">
        <f>0.3268*$H$10*$C$4*2*PI()*$B12/60*3.6</f>
        <v>10.494180907266067</v>
      </c>
      <c r="G12" s="19">
        <f>(50*F12/3.6+0.5272*(F12/3.6)^3)/1000/0.7355</f>
        <v>0.21592334653071496</v>
      </c>
      <c r="H12" s="19">
        <f>$D12-G12</f>
        <v>36.438646653469284</v>
      </c>
      <c r="J12" s="19">
        <f t="shared" ref="J12:J76" si="0">0.3268*$L$10*$C$4*2*PI()*$B12/60*3.6</f>
        <v>6.8807404563526875</v>
      </c>
      <c r="K12" s="19">
        <f>(50*J12/3.6+0.5272*(J12/3.6)^3)/1000/0.7355</f>
        <v>0.13493800704655584</v>
      </c>
      <c r="L12" s="19">
        <f t="shared" ref="L12:L43" si="1">$D12-K12</f>
        <v>36.519631992953443</v>
      </c>
      <c r="N12" s="19">
        <f>0.3268*$P$10*$C$4*2*PI()*$B12/60*3.6</f>
        <v>10.421146734147303</v>
      </c>
      <c r="O12" s="19">
        <f>(50*N12/3.6+0.5272*(N12/3.6)^3)/1000/0.7355</f>
        <v>0.21417606619104648</v>
      </c>
      <c r="P12" s="19">
        <f t="shared" ref="P12:P43" si="2">$D12-O12</f>
        <v>36.440393933808956</v>
      </c>
      <c r="R12" s="19">
        <f>0.3268*$T$10*$C$4*2*PI()*$B12/60*3.6</f>
        <v>13.830750111930403</v>
      </c>
      <c r="S12" s="19">
        <f>(50*R12/3.6+0.5272*(R12/3.6)^3)/1000/0.7355</f>
        <v>0.30182080508644965</v>
      </c>
      <c r="T12" s="19">
        <f t="shared" ref="T12:T43" si="3">$D12-S12</f>
        <v>36.35274919491355</v>
      </c>
      <c r="V12" s="19">
        <f>0.3268*$X$10*$C$4*2*PI()*$B12/60*3.6</f>
        <v>16.486254133421042</v>
      </c>
      <c r="W12" s="19">
        <f>(50*V12/3.6+0.5272*(V12/3.6)^3)/1000/0.7355</f>
        <v>0.38016149055011311</v>
      </c>
      <c r="X12" s="19">
        <f t="shared" ref="X12:X43" si="4">$D12-W12</f>
        <v>36.274408509449884</v>
      </c>
      <c r="Z12" s="19">
        <f>0.3268*$AB$10*$C$4*2*PI()*$B12/60*3.6</f>
        <v>48.800348141013629</v>
      </c>
      <c r="AA12" s="19">
        <f>(50*Z12/3.6+0.5272*(Z12/3.6)^3)/1000/0.7355</f>
        <v>2.7070021872109953</v>
      </c>
      <c r="AB12" s="19">
        <f t="shared" ref="AB12:AB43" si="5">$D12-AA12</f>
        <v>33.947567812789003</v>
      </c>
    </row>
    <row r="13" spans="2:28" x14ac:dyDescent="0.3">
      <c r="B13" s="10">
        <v>1011.52</v>
      </c>
      <c r="C13" s="10">
        <v>42.181800000000003</v>
      </c>
      <c r="D13" s="10">
        <f t="shared" ref="D13:D76" si="6">C13*$C$3</f>
        <v>37.963620000000006</v>
      </c>
      <c r="F13" s="19">
        <f t="shared" ref="F13:F76" si="7">0.3268*$H$10*$C$4*2*PI()*$B13/60*3.6</f>
        <v>10.610829539501971</v>
      </c>
      <c r="G13" s="19">
        <f t="shared" ref="G13:G76" si="8">(50*F13/3.6+0.5272*(F13/3.6)^3)/1000/0.7355</f>
        <v>0.21872478239816939</v>
      </c>
      <c r="H13" s="19">
        <f>$D13-G13</f>
        <v>37.744895217601837</v>
      </c>
      <c r="J13" s="19">
        <f t="shared" si="0"/>
        <v>6.9572236969310985</v>
      </c>
      <c r="K13" s="19">
        <f t="shared" ref="K13:K76" si="9">(50*J13/3.6+0.5272*(J13/3.6)^3)/1000/0.7355</f>
        <v>0.13655104300180873</v>
      </c>
      <c r="L13" s="19">
        <f t="shared" si="1"/>
        <v>37.827068956998197</v>
      </c>
      <c r="N13" s="19">
        <f t="shared" ref="N13:N76" si="10">0.3268*$P$10*$C$4*2*PI()*$B13/60*3.6</f>
        <v>10.536983551104237</v>
      </c>
      <c r="O13" s="19">
        <f t="shared" ref="O13:O76" si="11">(50*N13/3.6+0.5272*(N13/3.6)^3)/1000/0.7355</f>
        <v>0.21694975912529113</v>
      </c>
      <c r="P13" s="19">
        <f t="shared" si="2"/>
        <v>37.746670240874714</v>
      </c>
      <c r="R13" s="19">
        <f t="shared" ref="R13:R76" si="12">0.3268*$T$10*$C$4*2*PI()*$B13/60*3.6</f>
        <v>13.984486558596403</v>
      </c>
      <c r="S13" s="19">
        <f t="shared" ref="S13:S76" si="13">(50*R13/3.6+0.5272*(R13/3.6)^3)/1000/0.7355</f>
        <v>0.30609444777224248</v>
      </c>
      <c r="T13" s="19">
        <f t="shared" si="3"/>
        <v>37.65752555222776</v>
      </c>
      <c r="V13" s="19">
        <f t="shared" ref="V13:V76" si="14">0.3268*$X$10*$C$4*2*PI()*$B13/60*3.6</f>
        <v>16.669507977846912</v>
      </c>
      <c r="W13" s="19">
        <f t="shared" ref="W13:W76" si="15">(50*V13/3.6+0.5272*(V13/3.6)^3)/1000/0.7355</f>
        <v>0.38594323373501394</v>
      </c>
      <c r="X13" s="19">
        <f t="shared" si="4"/>
        <v>37.577676766264993</v>
      </c>
      <c r="Z13" s="19">
        <f t="shared" ref="Z13:Z76" si="16">0.3268*$AB$10*$C$4*2*PI()*$B13/60*3.6</f>
        <v>49.342791035184042</v>
      </c>
      <c r="AA13" s="19">
        <f t="shared" ref="AA13:AA76" si="17">(50*Z13/3.6+0.5272*(Z13/3.6)^3)/1000/0.7355</f>
        <v>2.7774493899348456</v>
      </c>
      <c r="AB13" s="19">
        <f t="shared" si="5"/>
        <v>35.186170610065162</v>
      </c>
    </row>
    <row r="14" spans="2:28" x14ac:dyDescent="0.3">
      <c r="B14" s="10">
        <v>1033.76</v>
      </c>
      <c r="C14" s="10">
        <v>44.363599999999998</v>
      </c>
      <c r="D14" s="10">
        <f t="shared" si="6"/>
        <v>39.927239999999998</v>
      </c>
      <c r="F14" s="19">
        <f t="shared" si="7"/>
        <v>10.844126803973779</v>
      </c>
      <c r="G14" s="19">
        <f>(50*F14/3.6+0.5272*(F14/3.6)^3)/1000/0.7355</f>
        <v>0.22436772741477623</v>
      </c>
      <c r="H14" s="19">
        <f t="shared" ref="H14:H43" si="18">$D14-G14</f>
        <v>39.702872272585225</v>
      </c>
      <c r="J14" s="19">
        <f t="shared" si="0"/>
        <v>7.1101901780879189</v>
      </c>
      <c r="K14" s="19">
        <f t="shared" si="9"/>
        <v>0.13978841065520747</v>
      </c>
      <c r="L14" s="19">
        <f t="shared" si="1"/>
        <v>39.787451589344791</v>
      </c>
      <c r="N14" s="19">
        <f t="shared" si="10"/>
        <v>10.768657185018109</v>
      </c>
      <c r="O14" s="19">
        <f t="shared" si="11"/>
        <v>0.22253638741565493</v>
      </c>
      <c r="P14" s="19">
        <f t="shared" si="2"/>
        <v>39.704703612584346</v>
      </c>
      <c r="R14" s="19">
        <f t="shared" si="12"/>
        <v>14.291959451928401</v>
      </c>
      <c r="S14" s="19">
        <f t="shared" si="13"/>
        <v>0.31473347055360995</v>
      </c>
      <c r="T14" s="19">
        <f t="shared" si="3"/>
        <v>39.612506529446385</v>
      </c>
      <c r="V14" s="19">
        <f t="shared" si="14"/>
        <v>17.036015666698656</v>
      </c>
      <c r="W14" s="19">
        <f t="shared" si="15"/>
        <v>0.39766209299336619</v>
      </c>
      <c r="X14" s="19">
        <f t="shared" si="4"/>
        <v>39.529577907006633</v>
      </c>
      <c r="Z14" s="19">
        <f t="shared" si="16"/>
        <v>50.427676823524834</v>
      </c>
      <c r="AA14" s="19">
        <f t="shared" si="17"/>
        <v>2.9223735446977512</v>
      </c>
      <c r="AB14" s="19">
        <f t="shared" si="5"/>
        <v>37.004866455302249</v>
      </c>
    </row>
    <row r="15" spans="2:28" x14ac:dyDescent="0.3">
      <c r="B15" s="10">
        <v>1050.44</v>
      </c>
      <c r="C15" s="10">
        <v>45.818199999999997</v>
      </c>
      <c r="D15" s="10">
        <f t="shared" si="6"/>
        <v>41.236379999999997</v>
      </c>
      <c r="F15" s="19">
        <f t="shared" si="7"/>
        <v>11.019099752327637</v>
      </c>
      <c r="G15" s="19">
        <f t="shared" si="8"/>
        <v>0.22863557639621893</v>
      </c>
      <c r="H15" s="19">
        <f t="shared" si="18"/>
        <v>41.007744423603775</v>
      </c>
      <c r="J15" s="19">
        <f t="shared" si="0"/>
        <v>7.2249150389555359</v>
      </c>
      <c r="K15" s="19">
        <f t="shared" si="9"/>
        <v>0.14222648255901643</v>
      </c>
      <c r="L15" s="19">
        <f t="shared" si="1"/>
        <v>41.094153517440979</v>
      </c>
      <c r="N15" s="19">
        <f t="shared" si="10"/>
        <v>10.94241241045351</v>
      </c>
      <c r="O15" s="19">
        <f t="shared" si="11"/>
        <v>0.22676125990554588</v>
      </c>
      <c r="P15" s="19">
        <f t="shared" si="2"/>
        <v>41.009618740094453</v>
      </c>
      <c r="R15" s="19">
        <f t="shared" si="12"/>
        <v>14.522564121927402</v>
      </c>
      <c r="S15" s="19">
        <f t="shared" si="13"/>
        <v>0.32129432669936409</v>
      </c>
      <c r="T15" s="19">
        <f t="shared" si="3"/>
        <v>40.915085673300631</v>
      </c>
      <c r="V15" s="19">
        <f t="shared" si="14"/>
        <v>17.310896433337465</v>
      </c>
      <c r="W15" s="19">
        <f t="shared" si="15"/>
        <v>0.40658942237078283</v>
      </c>
      <c r="X15" s="19">
        <f t="shared" si="4"/>
        <v>40.829790577629211</v>
      </c>
      <c r="Z15" s="19">
        <f t="shared" si="16"/>
        <v>51.241341164780451</v>
      </c>
      <c r="AA15" s="19">
        <f t="shared" si="17"/>
        <v>3.034650623499545</v>
      </c>
      <c r="AB15" s="19">
        <f t="shared" si="5"/>
        <v>38.201729376500452</v>
      </c>
    </row>
    <row r="16" spans="2:28" x14ac:dyDescent="0.3">
      <c r="B16" s="10">
        <v>1072.68</v>
      </c>
      <c r="C16" s="10">
        <v>48</v>
      </c>
      <c r="D16" s="10">
        <f t="shared" si="6"/>
        <v>43.2</v>
      </c>
      <c r="F16" s="19">
        <f t="shared" si="7"/>
        <v>11.252397016799444</v>
      </c>
      <c r="G16" s="19">
        <f t="shared" si="8"/>
        <v>0.23437450082235081</v>
      </c>
      <c r="H16" s="19">
        <f t="shared" si="18"/>
        <v>42.965625499177655</v>
      </c>
      <c r="J16" s="19">
        <f t="shared" si="0"/>
        <v>7.3778815201123562</v>
      </c>
      <c r="K16" s="19">
        <f t="shared" si="9"/>
        <v>0.14549090461592493</v>
      </c>
      <c r="L16" s="19">
        <f t="shared" si="1"/>
        <v>43.054509095384077</v>
      </c>
      <c r="N16" s="19">
        <f t="shared" si="10"/>
        <v>11.174086044367384</v>
      </c>
      <c r="O16" s="19">
        <f t="shared" si="11"/>
        <v>0.23244187761529977</v>
      </c>
      <c r="P16" s="19">
        <f t="shared" si="2"/>
        <v>42.967558122384702</v>
      </c>
      <c r="R16" s="19">
        <f t="shared" si="12"/>
        <v>14.830037015259402</v>
      </c>
      <c r="S16" s="19">
        <f t="shared" si="13"/>
        <v>0.33015306950487594</v>
      </c>
      <c r="T16" s="19">
        <f t="shared" si="3"/>
        <v>42.869846930495129</v>
      </c>
      <c r="V16" s="19">
        <f t="shared" si="14"/>
        <v>17.677404122189213</v>
      </c>
      <c r="W16" s="19">
        <f t="shared" si="15"/>
        <v>0.41868041481781909</v>
      </c>
      <c r="X16" s="19">
        <f t="shared" si="4"/>
        <v>42.781319585182182</v>
      </c>
      <c r="Z16" s="19">
        <f t="shared" si="16"/>
        <v>52.326226953121257</v>
      </c>
      <c r="AA16" s="19">
        <f t="shared" si="17"/>
        <v>3.1892264200402014</v>
      </c>
      <c r="AB16" s="19">
        <f t="shared" si="5"/>
        <v>40.010773579959803</v>
      </c>
    </row>
    <row r="17" spans="2:28" x14ac:dyDescent="0.3">
      <c r="B17" s="10">
        <v>1089.3599999999999</v>
      </c>
      <c r="C17" s="10">
        <v>49.454500000000003</v>
      </c>
      <c r="D17" s="10">
        <f t="shared" si="6"/>
        <v>44.509050000000002</v>
      </c>
      <c r="F17" s="19">
        <f t="shared" si="7"/>
        <v>11.4273699651533</v>
      </c>
      <c r="G17" s="19">
        <f t="shared" si="8"/>
        <v>0.23871567858844142</v>
      </c>
      <c r="H17" s="19">
        <f t="shared" si="18"/>
        <v>44.270334321411561</v>
      </c>
      <c r="J17" s="19">
        <f t="shared" si="0"/>
        <v>7.4926063809799714</v>
      </c>
      <c r="K17" s="19">
        <f t="shared" si="9"/>
        <v>0.14794964622939927</v>
      </c>
      <c r="L17" s="19">
        <f t="shared" si="1"/>
        <v>44.361100353770603</v>
      </c>
      <c r="N17" s="19">
        <f t="shared" si="10"/>
        <v>11.347841269802784</v>
      </c>
      <c r="O17" s="19">
        <f t="shared" si="11"/>
        <v>0.23673855852668169</v>
      </c>
      <c r="P17" s="19">
        <f t="shared" si="2"/>
        <v>44.27231144147332</v>
      </c>
      <c r="R17" s="19">
        <f t="shared" si="12"/>
        <v>15.0606416852584</v>
      </c>
      <c r="S17" s="19">
        <f t="shared" si="13"/>
        <v>0.33688179292979992</v>
      </c>
      <c r="T17" s="19">
        <f t="shared" si="3"/>
        <v>44.1721682070702</v>
      </c>
      <c r="V17" s="19">
        <f t="shared" si="14"/>
        <v>17.952284888828011</v>
      </c>
      <c r="W17" s="19">
        <f t="shared" si="15"/>
        <v>0.42789205595114599</v>
      </c>
      <c r="X17" s="19">
        <f t="shared" si="4"/>
        <v>44.081157944048854</v>
      </c>
      <c r="Z17" s="19">
        <f t="shared" si="16"/>
        <v>53.139891294376852</v>
      </c>
      <c r="AA17" s="19">
        <f t="shared" si="17"/>
        <v>3.3088774050258425</v>
      </c>
      <c r="AB17" s="19">
        <f t="shared" si="5"/>
        <v>41.200172594974163</v>
      </c>
    </row>
    <row r="18" spans="2:28" x14ac:dyDescent="0.3">
      <c r="B18" s="10">
        <v>1106.04</v>
      </c>
      <c r="C18" s="10">
        <v>50.909100000000002</v>
      </c>
      <c r="D18" s="10">
        <f t="shared" si="6"/>
        <v>45.818190000000001</v>
      </c>
      <c r="F18" s="19">
        <f t="shared" si="7"/>
        <v>11.602342913507156</v>
      </c>
      <c r="G18" s="19">
        <f t="shared" si="8"/>
        <v>0.24308910597295511</v>
      </c>
      <c r="H18" s="19">
        <f t="shared" si="18"/>
        <v>45.575100894027045</v>
      </c>
      <c r="J18" s="19">
        <f t="shared" si="0"/>
        <v>7.6073312418475876</v>
      </c>
      <c r="K18" s="19">
        <f t="shared" si="9"/>
        <v>0.15041747827377094</v>
      </c>
      <c r="L18" s="19">
        <f t="shared" si="1"/>
        <v>45.667772521726228</v>
      </c>
      <c r="N18" s="19">
        <f t="shared" si="10"/>
        <v>11.521596495238187</v>
      </c>
      <c r="O18" s="19">
        <f t="shared" si="11"/>
        <v>0.24106682040867103</v>
      </c>
      <c r="P18" s="19">
        <f t="shared" si="2"/>
        <v>45.577123179591332</v>
      </c>
      <c r="R18" s="19">
        <f t="shared" si="12"/>
        <v>15.2912463552574</v>
      </c>
      <c r="S18" s="19">
        <f t="shared" si="13"/>
        <v>0.34368434351175281</v>
      </c>
      <c r="T18" s="19">
        <f t="shared" si="3"/>
        <v>45.474505656488247</v>
      </c>
      <c r="V18" s="19">
        <f t="shared" si="14"/>
        <v>18.22716565546682</v>
      </c>
      <c r="W18" s="19">
        <f t="shared" si="15"/>
        <v>0.43722873591724981</v>
      </c>
      <c r="X18" s="19">
        <f t="shared" si="4"/>
        <v>45.38096126408275</v>
      </c>
      <c r="Z18" s="19">
        <f t="shared" si="16"/>
        <v>53.953555635632455</v>
      </c>
      <c r="AA18" s="19">
        <f t="shared" si="17"/>
        <v>3.4317713956314222</v>
      </c>
      <c r="AB18" s="19">
        <f t="shared" si="5"/>
        <v>42.386418604368579</v>
      </c>
    </row>
    <row r="19" spans="2:28" x14ac:dyDescent="0.3">
      <c r="B19" s="10">
        <v>1128.28</v>
      </c>
      <c r="C19" s="10">
        <v>53.090899999999998</v>
      </c>
      <c r="D19" s="10">
        <f t="shared" si="6"/>
        <v>47.78181</v>
      </c>
      <c r="F19" s="19">
        <f t="shared" si="7"/>
        <v>11.835640177978965</v>
      </c>
      <c r="G19" s="19">
        <f t="shared" si="8"/>
        <v>0.2489713620365229</v>
      </c>
      <c r="H19" s="19">
        <f t="shared" si="18"/>
        <v>47.532838637963479</v>
      </c>
      <c r="J19" s="19">
        <f t="shared" si="0"/>
        <v>7.7602977230044079</v>
      </c>
      <c r="K19" s="19">
        <f t="shared" si="9"/>
        <v>0.15372230224577857</v>
      </c>
      <c r="L19" s="19">
        <f t="shared" si="1"/>
        <v>47.628087697754225</v>
      </c>
      <c r="N19" s="19">
        <f t="shared" si="10"/>
        <v>11.753270129152058</v>
      </c>
      <c r="O19" s="19">
        <f t="shared" si="11"/>
        <v>0.2468877979877914</v>
      </c>
      <c r="P19" s="19">
        <f t="shared" si="2"/>
        <v>47.534922202012211</v>
      </c>
      <c r="R19" s="19">
        <f t="shared" si="12"/>
        <v>15.598719248589399</v>
      </c>
      <c r="S19" s="19">
        <f t="shared" si="13"/>
        <v>0.35287120701517127</v>
      </c>
      <c r="T19" s="19">
        <f t="shared" si="3"/>
        <v>47.42893879298483</v>
      </c>
      <c r="V19" s="19">
        <f t="shared" si="14"/>
        <v>18.593673344318564</v>
      </c>
      <c r="W19" s="19">
        <f t="shared" si="15"/>
        <v>0.4498754565099598</v>
      </c>
      <c r="X19" s="19">
        <f t="shared" si="4"/>
        <v>47.331934543490043</v>
      </c>
      <c r="Z19" s="19">
        <f t="shared" si="16"/>
        <v>55.038441423973268</v>
      </c>
      <c r="AA19" s="19">
        <f t="shared" si="17"/>
        <v>3.600760550482923</v>
      </c>
      <c r="AB19" s="19">
        <f t="shared" si="5"/>
        <v>44.181049449517076</v>
      </c>
    </row>
    <row r="20" spans="2:28" x14ac:dyDescent="0.3">
      <c r="B20" s="10">
        <v>1150.52</v>
      </c>
      <c r="C20" s="10">
        <v>55.2727</v>
      </c>
      <c r="D20" s="10">
        <f t="shared" si="6"/>
        <v>49.745429999999999</v>
      </c>
      <c r="F20" s="19">
        <f t="shared" si="7"/>
        <v>12.068937442450773</v>
      </c>
      <c r="G20" s="19">
        <f t="shared" si="8"/>
        <v>0.25491299910173798</v>
      </c>
      <c r="H20" s="19">
        <f t="shared" si="18"/>
        <v>49.490517000898258</v>
      </c>
      <c r="J20" s="19">
        <f t="shared" si="0"/>
        <v>7.9132642041612282</v>
      </c>
      <c r="K20" s="19">
        <f t="shared" si="9"/>
        <v>0.15704386436597156</v>
      </c>
      <c r="L20" s="19">
        <f t="shared" si="1"/>
        <v>49.588386135634025</v>
      </c>
      <c r="N20" s="19">
        <f t="shared" si="10"/>
        <v>11.984943763065928</v>
      </c>
      <c r="O20" s="19">
        <f t="shared" si="11"/>
        <v>0.25276692539191303</v>
      </c>
      <c r="P20" s="19">
        <f t="shared" si="2"/>
        <v>49.492663074608089</v>
      </c>
      <c r="R20" s="19">
        <f t="shared" si="12"/>
        <v>15.9061921419214</v>
      </c>
      <c r="S20" s="19">
        <f t="shared" si="13"/>
        <v>0.36219400795746531</v>
      </c>
      <c r="T20" s="19">
        <f t="shared" si="3"/>
        <v>49.383235992042536</v>
      </c>
      <c r="V20" s="19">
        <f t="shared" si="14"/>
        <v>18.960181033170308</v>
      </c>
      <c r="W20" s="19">
        <f t="shared" si="15"/>
        <v>0.46275241024954533</v>
      </c>
      <c r="X20" s="19">
        <f t="shared" si="4"/>
        <v>49.282677589750456</v>
      </c>
      <c r="Z20" s="19">
        <f t="shared" si="16"/>
        <v>56.123327212314081</v>
      </c>
      <c r="AA20" s="19">
        <f t="shared" si="17"/>
        <v>3.7757210293833889</v>
      </c>
      <c r="AB20" s="19">
        <f t="shared" si="5"/>
        <v>45.969708970616608</v>
      </c>
    </row>
    <row r="21" spans="2:28" x14ac:dyDescent="0.3">
      <c r="B21" s="10">
        <v>1167.2</v>
      </c>
      <c r="C21" s="10">
        <v>56.7273</v>
      </c>
      <c r="D21" s="10">
        <f t="shared" si="6"/>
        <v>51.054569999999998</v>
      </c>
      <c r="F21" s="19">
        <f t="shared" si="7"/>
        <v>12.243910390804631</v>
      </c>
      <c r="G21" s="19">
        <f t="shared" si="8"/>
        <v>0.2594088998021491</v>
      </c>
      <c r="H21" s="19">
        <f t="shared" si="18"/>
        <v>50.795161100197852</v>
      </c>
      <c r="J21" s="19">
        <f t="shared" si="0"/>
        <v>8.0279890650288461</v>
      </c>
      <c r="K21" s="19">
        <f t="shared" si="9"/>
        <v>0.15954621884097564</v>
      </c>
      <c r="L21" s="19">
        <f t="shared" si="1"/>
        <v>50.895023781159026</v>
      </c>
      <c r="N21" s="19">
        <f t="shared" si="10"/>
        <v>12.158698988501332</v>
      </c>
      <c r="O21" s="19">
        <f t="shared" si="11"/>
        <v>0.25721512128796786</v>
      </c>
      <c r="P21" s="19">
        <f t="shared" si="2"/>
        <v>50.797354878712028</v>
      </c>
      <c r="R21" s="19">
        <f t="shared" si="12"/>
        <v>16.136796811920398</v>
      </c>
      <c r="S21" s="19">
        <f t="shared" si="13"/>
        <v>0.36927692950709928</v>
      </c>
      <c r="T21" s="19">
        <f t="shared" si="3"/>
        <v>50.685293070492897</v>
      </c>
      <c r="V21" s="19">
        <f t="shared" si="14"/>
        <v>19.235061799809117</v>
      </c>
      <c r="W21" s="19">
        <f t="shared" si="15"/>
        <v>0.47256394608107988</v>
      </c>
      <c r="X21" s="19">
        <f t="shared" si="4"/>
        <v>50.582006053918917</v>
      </c>
      <c r="Z21" s="19">
        <f t="shared" si="16"/>
        <v>56.936991553569683</v>
      </c>
      <c r="AA21" s="19">
        <f t="shared" si="17"/>
        <v>3.9109308758399628</v>
      </c>
      <c r="AB21" s="19">
        <f t="shared" si="5"/>
        <v>47.143639124160032</v>
      </c>
    </row>
    <row r="22" spans="2:28" x14ac:dyDescent="0.3">
      <c r="B22" s="10">
        <v>1183.8800000000001</v>
      </c>
      <c r="C22" s="10">
        <v>58.181800000000003</v>
      </c>
      <c r="D22" s="10">
        <f t="shared" si="6"/>
        <v>52.363620000000004</v>
      </c>
      <c r="F22" s="19">
        <f t="shared" si="7"/>
        <v>12.418883339158489</v>
      </c>
      <c r="G22" s="19">
        <f t="shared" si="8"/>
        <v>0.26393935451099038</v>
      </c>
      <c r="H22" s="19">
        <f t="shared" si="18"/>
        <v>52.099680645489016</v>
      </c>
      <c r="J22" s="19">
        <f t="shared" si="0"/>
        <v>8.1427139258964623</v>
      </c>
      <c r="K22" s="19">
        <f t="shared" si="9"/>
        <v>0.16205831330179088</v>
      </c>
      <c r="L22" s="19">
        <f t="shared" si="1"/>
        <v>52.201561686698213</v>
      </c>
      <c r="N22" s="19">
        <f t="shared" si="10"/>
        <v>12.332454213936735</v>
      </c>
      <c r="O22" s="19">
        <f t="shared" si="11"/>
        <v>0.26169715476654165</v>
      </c>
      <c r="P22" s="19">
        <f t="shared" si="2"/>
        <v>52.10192284523346</v>
      </c>
      <c r="R22" s="19">
        <f t="shared" si="12"/>
        <v>16.367401481919398</v>
      </c>
      <c r="S22" s="19">
        <f t="shared" si="13"/>
        <v>0.37643895351843942</v>
      </c>
      <c r="T22" s="19">
        <f t="shared" si="3"/>
        <v>51.987181046481567</v>
      </c>
      <c r="V22" s="19">
        <f t="shared" si="14"/>
        <v>19.509942566447926</v>
      </c>
      <c r="W22" s="19">
        <f t="shared" si="15"/>
        <v>0.48250945537007284</v>
      </c>
      <c r="X22" s="19">
        <f t="shared" si="4"/>
        <v>51.881110544629934</v>
      </c>
      <c r="Z22" s="19">
        <f t="shared" si="16"/>
        <v>57.750655894825293</v>
      </c>
      <c r="AA22" s="19">
        <f t="shared" si="17"/>
        <v>4.0496154562316873</v>
      </c>
      <c r="AB22" s="19">
        <f t="shared" si="5"/>
        <v>48.31400454376832</v>
      </c>
    </row>
    <row r="23" spans="2:28" x14ac:dyDescent="0.3">
      <c r="B23" s="10">
        <v>1206.1199999999999</v>
      </c>
      <c r="C23" s="10">
        <v>60.363599999999998</v>
      </c>
      <c r="D23" s="10">
        <f t="shared" si="6"/>
        <v>54.327239999999996</v>
      </c>
      <c r="F23" s="19">
        <f t="shared" si="7"/>
        <v>12.652180603630294</v>
      </c>
      <c r="G23" s="19">
        <f t="shared" si="8"/>
        <v>0.27003456494700567</v>
      </c>
      <c r="H23" s="19">
        <f t="shared" si="18"/>
        <v>54.057205435052992</v>
      </c>
      <c r="J23" s="19">
        <f t="shared" si="0"/>
        <v>8.2956804070532808</v>
      </c>
      <c r="K23" s="19">
        <f t="shared" si="9"/>
        <v>0.16542316424781159</v>
      </c>
      <c r="L23" s="19">
        <f t="shared" si="1"/>
        <v>54.161816835752184</v>
      </c>
      <c r="N23" s="19">
        <f t="shared" si="10"/>
        <v>12.564127847850605</v>
      </c>
      <c r="O23" s="19">
        <f t="shared" si="11"/>
        <v>0.2677266714263038</v>
      </c>
      <c r="P23" s="19">
        <f t="shared" si="2"/>
        <v>54.059513328573694</v>
      </c>
      <c r="R23" s="19">
        <f t="shared" si="12"/>
        <v>16.674874375251395</v>
      </c>
      <c r="S23" s="19">
        <f t="shared" si="13"/>
        <v>0.38611332095720519</v>
      </c>
      <c r="T23" s="19">
        <f t="shared" si="3"/>
        <v>53.941126679042789</v>
      </c>
      <c r="V23" s="19">
        <f t="shared" si="14"/>
        <v>19.876450255299666</v>
      </c>
      <c r="W23" s="19">
        <f t="shared" si="15"/>
        <v>0.49598184669836215</v>
      </c>
      <c r="X23" s="19">
        <f t="shared" si="4"/>
        <v>53.831258153301633</v>
      </c>
      <c r="Z23" s="19">
        <f t="shared" si="16"/>
        <v>58.835541683166099</v>
      </c>
      <c r="AA23" s="19">
        <f t="shared" si="17"/>
        <v>4.2400191970661441</v>
      </c>
      <c r="AB23" s="19">
        <f t="shared" si="5"/>
        <v>50.087220802933849</v>
      </c>
    </row>
    <row r="24" spans="2:28" x14ac:dyDescent="0.3">
      <c r="B24" s="10">
        <v>1222.8</v>
      </c>
      <c r="C24" s="10">
        <v>62.545499999999997</v>
      </c>
      <c r="D24" s="10">
        <f t="shared" si="6"/>
        <v>56.290949999999995</v>
      </c>
      <c r="F24" s="19">
        <f t="shared" si="7"/>
        <v>12.82715355198415</v>
      </c>
      <c r="G24" s="19">
        <f t="shared" si="8"/>
        <v>0.27464756600052292</v>
      </c>
      <c r="H24" s="19">
        <f t="shared" si="18"/>
        <v>56.016302433999471</v>
      </c>
      <c r="J24" s="19">
        <f t="shared" si="0"/>
        <v>8.4104052679208987</v>
      </c>
      <c r="K24" s="19">
        <f t="shared" si="9"/>
        <v>0.16795852663794808</v>
      </c>
      <c r="L24" s="19">
        <f t="shared" si="1"/>
        <v>56.122991473362049</v>
      </c>
      <c r="N24" s="19">
        <f t="shared" si="10"/>
        <v>12.737883073286007</v>
      </c>
      <c r="O24" s="19">
        <f t="shared" si="11"/>
        <v>0.27228953977401527</v>
      </c>
      <c r="P24" s="19">
        <f t="shared" si="2"/>
        <v>56.018660460225981</v>
      </c>
      <c r="R24" s="19">
        <f t="shared" si="12"/>
        <v>16.905479045250399</v>
      </c>
      <c r="S24" s="19">
        <f t="shared" si="13"/>
        <v>0.39346431346642408</v>
      </c>
      <c r="T24" s="19">
        <f t="shared" si="3"/>
        <v>55.897485686533571</v>
      </c>
      <c r="V24" s="19">
        <f t="shared" si="14"/>
        <v>20.151331021938471</v>
      </c>
      <c r="W24" s="19">
        <f t="shared" si="15"/>
        <v>0.5062474062419926</v>
      </c>
      <c r="X24" s="19">
        <f t="shared" si="4"/>
        <v>55.784702593758006</v>
      </c>
      <c r="Z24" s="19">
        <f t="shared" si="16"/>
        <v>59.649206024421694</v>
      </c>
      <c r="AA24" s="19">
        <f t="shared" si="17"/>
        <v>4.3870045969025533</v>
      </c>
      <c r="AB24" s="19">
        <f t="shared" si="5"/>
        <v>51.903945403097438</v>
      </c>
    </row>
    <row r="25" spans="2:28" x14ac:dyDescent="0.3">
      <c r="B25" s="10">
        <v>1239.48</v>
      </c>
      <c r="C25" s="10">
        <v>64</v>
      </c>
      <c r="D25" s="10">
        <f t="shared" si="6"/>
        <v>57.6</v>
      </c>
      <c r="F25" s="19">
        <f t="shared" si="7"/>
        <v>13.002126500338008</v>
      </c>
      <c r="G25" s="19">
        <f t="shared" si="8"/>
        <v>0.27929676705533252</v>
      </c>
      <c r="H25" s="19">
        <f t="shared" si="18"/>
        <v>57.320703232944666</v>
      </c>
      <c r="J25" s="19">
        <f t="shared" si="0"/>
        <v>8.5251301287885131</v>
      </c>
      <c r="K25" s="19">
        <f t="shared" si="9"/>
        <v>0.17050409298169142</v>
      </c>
      <c r="L25" s="19">
        <f t="shared" si="1"/>
        <v>57.429495907018307</v>
      </c>
      <c r="N25" s="19">
        <f t="shared" si="10"/>
        <v>12.91163829872141</v>
      </c>
      <c r="O25" s="19">
        <f t="shared" si="11"/>
        <v>0.27688785756989703</v>
      </c>
      <c r="P25" s="19">
        <f t="shared" si="2"/>
        <v>57.323112142430105</v>
      </c>
      <c r="R25" s="19">
        <f t="shared" si="12"/>
        <v>17.136083715249399</v>
      </c>
      <c r="S25" s="19">
        <f t="shared" si="13"/>
        <v>0.40089817651211845</v>
      </c>
      <c r="T25" s="19">
        <f t="shared" si="3"/>
        <v>57.199101823487879</v>
      </c>
      <c r="V25" s="19">
        <f t="shared" si="14"/>
        <v>20.42621178857728</v>
      </c>
      <c r="W25" s="19">
        <f t="shared" si="15"/>
        <v>0.51665332111785434</v>
      </c>
      <c r="X25" s="19">
        <f t="shared" si="4"/>
        <v>57.083346678882144</v>
      </c>
      <c r="Z25" s="19">
        <f t="shared" si="16"/>
        <v>60.462870365677304</v>
      </c>
      <c r="AA25" s="19">
        <f t="shared" si="17"/>
        <v>4.5376302508992623</v>
      </c>
      <c r="AB25" s="19">
        <f t="shared" si="5"/>
        <v>53.062369749100739</v>
      </c>
    </row>
    <row r="26" spans="2:28" x14ac:dyDescent="0.3">
      <c r="B26" s="10">
        <v>1261.72</v>
      </c>
      <c r="C26" s="10">
        <v>65.454499999999996</v>
      </c>
      <c r="D26" s="10">
        <f t="shared" si="6"/>
        <v>58.909050000000001</v>
      </c>
      <c r="F26" s="19">
        <f t="shared" si="7"/>
        <v>13.235423764809818</v>
      </c>
      <c r="G26" s="19">
        <f t="shared" si="8"/>
        <v>0.28555286638598015</v>
      </c>
      <c r="H26" s="19">
        <f t="shared" si="18"/>
        <v>58.623497133614023</v>
      </c>
      <c r="J26" s="19">
        <f t="shared" si="0"/>
        <v>8.6780966099453352</v>
      </c>
      <c r="K26" s="19">
        <f t="shared" si="9"/>
        <v>0.17391429483263182</v>
      </c>
      <c r="L26" s="19">
        <f t="shared" si="1"/>
        <v>58.735135705167366</v>
      </c>
      <c r="N26" s="19">
        <f t="shared" si="10"/>
        <v>13.143311932635282</v>
      </c>
      <c r="O26" s="19">
        <f t="shared" si="11"/>
        <v>0.28307492733263828</v>
      </c>
      <c r="P26" s="19">
        <f t="shared" si="2"/>
        <v>58.625975072667359</v>
      </c>
      <c r="R26" s="19">
        <f t="shared" si="12"/>
        <v>17.443556608581396</v>
      </c>
      <c r="S26" s="19">
        <f t="shared" si="13"/>
        <v>0.41094085744633108</v>
      </c>
      <c r="T26" s="19">
        <f t="shared" si="3"/>
        <v>58.498109142553666</v>
      </c>
      <c r="V26" s="19">
        <f t="shared" si="14"/>
        <v>20.792719477429024</v>
      </c>
      <c r="W26" s="19">
        <f t="shared" si="15"/>
        <v>0.53074951392272618</v>
      </c>
      <c r="X26" s="19">
        <f t="shared" si="4"/>
        <v>58.378300486077272</v>
      </c>
      <c r="Z26" s="19">
        <f t="shared" si="16"/>
        <v>61.54775615401811</v>
      </c>
      <c r="AA26" s="19">
        <f t="shared" si="17"/>
        <v>4.744212899112819</v>
      </c>
      <c r="AB26" s="19">
        <f t="shared" si="5"/>
        <v>54.164837100887183</v>
      </c>
    </row>
    <row r="27" spans="2:28" x14ac:dyDescent="0.3">
      <c r="B27" s="10">
        <v>1278.4000000000001</v>
      </c>
      <c r="C27" s="10">
        <v>67.636399999999995</v>
      </c>
      <c r="D27" s="10">
        <f t="shared" si="6"/>
        <v>60.87276</v>
      </c>
      <c r="F27" s="19">
        <f t="shared" si="7"/>
        <v>13.410396713163674</v>
      </c>
      <c r="G27" s="19">
        <f t="shared" si="8"/>
        <v>0.29028845443547752</v>
      </c>
      <c r="H27" s="19">
        <f t="shared" si="18"/>
        <v>60.582471545564523</v>
      </c>
      <c r="J27" s="19">
        <f t="shared" si="0"/>
        <v>8.7928214708129513</v>
      </c>
      <c r="K27" s="19">
        <f t="shared" si="9"/>
        <v>0.17648421169721962</v>
      </c>
      <c r="L27" s="19">
        <f t="shared" si="1"/>
        <v>60.696275788302778</v>
      </c>
      <c r="N27" s="19">
        <f t="shared" si="10"/>
        <v>13.317067158070683</v>
      </c>
      <c r="O27" s="19">
        <f t="shared" si="11"/>
        <v>0.28775784101751045</v>
      </c>
      <c r="P27" s="19">
        <f t="shared" si="2"/>
        <v>60.585002158982491</v>
      </c>
      <c r="R27" s="19">
        <f t="shared" si="12"/>
        <v>17.674161278580396</v>
      </c>
      <c r="S27" s="19">
        <f t="shared" si="13"/>
        <v>0.41857248116436607</v>
      </c>
      <c r="T27" s="19">
        <f t="shared" si="3"/>
        <v>60.454187518835631</v>
      </c>
      <c r="V27" s="19">
        <f t="shared" si="14"/>
        <v>21.067600244067837</v>
      </c>
      <c r="W27" s="19">
        <f t="shared" si="15"/>
        <v>0.54149037009436196</v>
      </c>
      <c r="X27" s="19">
        <f t="shared" si="4"/>
        <v>60.331269629905634</v>
      </c>
      <c r="Z27" s="19">
        <f t="shared" si="16"/>
        <v>62.361420495273734</v>
      </c>
      <c r="AA27" s="19">
        <f t="shared" si="17"/>
        <v>4.9035255864128979</v>
      </c>
      <c r="AB27" s="19">
        <f t="shared" si="5"/>
        <v>55.969234413587102</v>
      </c>
    </row>
    <row r="28" spans="2:28" x14ac:dyDescent="0.3">
      <c r="B28" s="10">
        <v>1306.2</v>
      </c>
      <c r="C28" s="10">
        <v>69.818200000000004</v>
      </c>
      <c r="D28" s="10">
        <f t="shared" si="6"/>
        <v>62.836380000000005</v>
      </c>
      <c r="F28" s="19">
        <f t="shared" si="7"/>
        <v>13.702018293753435</v>
      </c>
      <c r="G28" s="19">
        <f t="shared" si="8"/>
        <v>0.29826544724466603</v>
      </c>
      <c r="H28" s="19">
        <f t="shared" si="18"/>
        <v>62.538114552755339</v>
      </c>
      <c r="J28" s="19">
        <f t="shared" si="0"/>
        <v>8.9840295722589776</v>
      </c>
      <c r="K28" s="19">
        <f t="shared" si="9"/>
        <v>0.18079118169950803</v>
      </c>
      <c r="L28" s="19">
        <f t="shared" si="1"/>
        <v>62.655588818300501</v>
      </c>
      <c r="N28" s="19">
        <f t="shared" si="10"/>
        <v>13.606659200463023</v>
      </c>
      <c r="O28" s="19">
        <f t="shared" si="11"/>
        <v>0.29564529442903426</v>
      </c>
      <c r="P28" s="19">
        <f t="shared" si="2"/>
        <v>62.540734705570969</v>
      </c>
      <c r="R28" s="19">
        <f t="shared" si="12"/>
        <v>18.058502395245391</v>
      </c>
      <c r="S28" s="19">
        <f t="shared" si="13"/>
        <v>0.43148494250826785</v>
      </c>
      <c r="T28" s="19">
        <f t="shared" si="3"/>
        <v>62.404895057491736</v>
      </c>
      <c r="V28" s="19">
        <f t="shared" si="14"/>
        <v>21.525734855132516</v>
      </c>
      <c r="W28" s="19">
        <f t="shared" si="15"/>
        <v>0.5597188251922478</v>
      </c>
      <c r="X28" s="19">
        <f t="shared" si="4"/>
        <v>62.276661174807757</v>
      </c>
      <c r="Z28" s="19">
        <f t="shared" si="16"/>
        <v>63.717527730699729</v>
      </c>
      <c r="AA28" s="19">
        <f t="shared" si="17"/>
        <v>5.1775285298399636</v>
      </c>
      <c r="AB28" s="19">
        <f t="shared" si="5"/>
        <v>57.658851470160045</v>
      </c>
    </row>
    <row r="29" spans="2:28" x14ac:dyDescent="0.3">
      <c r="B29" s="10">
        <v>1334</v>
      </c>
      <c r="C29" s="10">
        <v>72.7273</v>
      </c>
      <c r="D29" s="10">
        <f t="shared" si="6"/>
        <v>65.454570000000004</v>
      </c>
      <c r="E29" s="4"/>
      <c r="F29" s="19">
        <f t="shared" si="7"/>
        <v>13.993639874343195</v>
      </c>
      <c r="G29" s="19">
        <f t="shared" si="8"/>
        <v>0.30634985391659197</v>
      </c>
      <c r="H29" s="19">
        <f t="shared" si="18"/>
        <v>65.148220146083418</v>
      </c>
      <c r="J29" s="19">
        <f t="shared" si="0"/>
        <v>9.1752376737050039</v>
      </c>
      <c r="K29" s="19">
        <f t="shared" si="9"/>
        <v>0.18512842921651979</v>
      </c>
      <c r="L29" s="19">
        <f t="shared" si="1"/>
        <v>65.269441570783485</v>
      </c>
      <c r="N29" s="19">
        <f t="shared" si="10"/>
        <v>13.89625124285536</v>
      </c>
      <c r="O29" s="19">
        <f t="shared" si="11"/>
        <v>0.30363793463679978</v>
      </c>
      <c r="P29" s="19">
        <f t="shared" si="2"/>
        <v>65.150932065363207</v>
      </c>
      <c r="R29" s="19">
        <f t="shared" si="12"/>
        <v>18.442843511910393</v>
      </c>
      <c r="S29" s="19">
        <f t="shared" si="13"/>
        <v>0.44464330009836339</v>
      </c>
      <c r="T29" s="19">
        <f t="shared" si="3"/>
        <v>65.009926699901641</v>
      </c>
      <c r="V29" s="19">
        <f t="shared" si="14"/>
        <v>21.983869466197191</v>
      </c>
      <c r="W29" s="19">
        <f t="shared" si="15"/>
        <v>0.57836374735788376</v>
      </c>
      <c r="X29" s="19">
        <f t="shared" si="4"/>
        <v>64.87620625264212</v>
      </c>
      <c r="Z29" s="19">
        <f t="shared" si="16"/>
        <v>65.073634966125738</v>
      </c>
      <c r="AA29" s="19">
        <f t="shared" si="17"/>
        <v>5.4623329579837581</v>
      </c>
      <c r="AB29" s="19">
        <f t="shared" si="5"/>
        <v>59.992237042016242</v>
      </c>
    </row>
    <row r="30" spans="2:28" x14ac:dyDescent="0.3">
      <c r="B30" s="10">
        <v>1361.8</v>
      </c>
      <c r="C30" s="10">
        <v>74.909099999999995</v>
      </c>
      <c r="D30" s="10">
        <f t="shared" si="6"/>
        <v>67.418189999999996</v>
      </c>
      <c r="E30" s="4"/>
      <c r="F30" s="19">
        <f t="shared" si="7"/>
        <v>14.285261454932956</v>
      </c>
      <c r="G30" s="19">
        <f t="shared" si="8"/>
        <v>0.31454396055245282</v>
      </c>
      <c r="H30" s="19">
        <f t="shared" si="18"/>
        <v>67.10364603944754</v>
      </c>
      <c r="J30" s="19">
        <f t="shared" si="0"/>
        <v>9.3664457751510302</v>
      </c>
      <c r="K30" s="19">
        <f t="shared" si="9"/>
        <v>0.18949659864797117</v>
      </c>
      <c r="L30" s="19">
        <f t="shared" si="1"/>
        <v>67.228693401352018</v>
      </c>
      <c r="N30" s="19">
        <f t="shared" si="10"/>
        <v>14.185843285247698</v>
      </c>
      <c r="O30" s="19">
        <f t="shared" si="11"/>
        <v>0.31173800034310051</v>
      </c>
      <c r="P30" s="19">
        <f t="shared" si="2"/>
        <v>67.106451999656898</v>
      </c>
      <c r="R30" s="19">
        <f t="shared" si="12"/>
        <v>18.827184628575392</v>
      </c>
      <c r="S30" s="19">
        <f t="shared" si="13"/>
        <v>0.45805278737183214</v>
      </c>
      <c r="T30" s="19">
        <f t="shared" si="3"/>
        <v>66.960137212628169</v>
      </c>
      <c r="V30" s="19">
        <f t="shared" si="14"/>
        <v>22.442004077261871</v>
      </c>
      <c r="W30" s="19">
        <f t="shared" si="15"/>
        <v>0.59743400030623217</v>
      </c>
      <c r="X30" s="19">
        <f t="shared" si="4"/>
        <v>66.820755999693759</v>
      </c>
      <c r="Z30" s="19">
        <f t="shared" si="16"/>
        <v>66.429742201551747</v>
      </c>
      <c r="AA30" s="19">
        <f t="shared" si="17"/>
        <v>5.758168760045872</v>
      </c>
      <c r="AB30" s="19">
        <f t="shared" si="5"/>
        <v>61.660021239954126</v>
      </c>
    </row>
    <row r="31" spans="2:28" x14ac:dyDescent="0.3">
      <c r="B31" s="10">
        <v>1384.03</v>
      </c>
      <c r="C31" s="10">
        <v>77.090900000000005</v>
      </c>
      <c r="D31" s="10">
        <f t="shared" si="6"/>
        <v>69.381810000000002</v>
      </c>
      <c r="E31" s="4"/>
      <c r="F31" s="19">
        <f t="shared" si="7"/>
        <v>14.51845381955563</v>
      </c>
      <c r="G31" s="19">
        <f t="shared" si="8"/>
        <v>0.32117676608849377</v>
      </c>
      <c r="H31" s="19">
        <f t="shared" si="18"/>
        <v>69.060633233911503</v>
      </c>
      <c r="J31" s="19">
        <f t="shared" si="0"/>
        <v>9.5193434764152443</v>
      </c>
      <c r="K31" s="19">
        <f t="shared" si="9"/>
        <v>0.19301224492947702</v>
      </c>
      <c r="L31" s="19">
        <f t="shared" si="1"/>
        <v>69.188797755070524</v>
      </c>
      <c r="N31" s="19">
        <f t="shared" si="10"/>
        <v>14.417412749362148</v>
      </c>
      <c r="O31" s="19">
        <f t="shared" si="11"/>
        <v>0.3182939385842401</v>
      </c>
      <c r="P31" s="19">
        <f t="shared" si="2"/>
        <v>69.063516061415768</v>
      </c>
      <c r="R31" s="19">
        <f t="shared" si="12"/>
        <v>19.134519269707152</v>
      </c>
      <c r="S31" s="19">
        <f t="shared" si="13"/>
        <v>0.46895976372201459</v>
      </c>
      <c r="T31" s="19">
        <f t="shared" si="3"/>
        <v>68.91285023627799</v>
      </c>
      <c r="V31" s="19">
        <f t="shared" si="14"/>
        <v>22.808346969490927</v>
      </c>
      <c r="W31" s="19">
        <f t="shared" si="15"/>
        <v>0.61299533394077066</v>
      </c>
      <c r="X31" s="19">
        <f t="shared" si="4"/>
        <v>68.768814666059228</v>
      </c>
      <c r="Z31" s="19">
        <f t="shared" si="16"/>
        <v>67.514140181534486</v>
      </c>
      <c r="AA31" s="19">
        <f t="shared" si="17"/>
        <v>6.002822782706521</v>
      </c>
      <c r="AB31" s="19">
        <f t="shared" si="5"/>
        <v>63.378987217293478</v>
      </c>
    </row>
    <row r="32" spans="2:28" x14ac:dyDescent="0.3">
      <c r="B32" s="10">
        <v>1406.27</v>
      </c>
      <c r="C32" s="10">
        <v>78.545500000000004</v>
      </c>
      <c r="D32" s="10">
        <f t="shared" si="6"/>
        <v>70.690950000000001</v>
      </c>
      <c r="E32" s="4"/>
      <c r="F32" s="19">
        <f t="shared" si="7"/>
        <v>14.751751084027442</v>
      </c>
      <c r="G32" s="19">
        <f t="shared" si="8"/>
        <v>0.32788538018118568</v>
      </c>
      <c r="H32" s="19">
        <f t="shared" si="18"/>
        <v>70.363064619818815</v>
      </c>
      <c r="J32" s="19">
        <f t="shared" si="0"/>
        <v>9.6723099575720646</v>
      </c>
      <c r="K32" s="19">
        <f t="shared" si="9"/>
        <v>0.19655000035703368</v>
      </c>
      <c r="L32" s="19">
        <f t="shared" si="1"/>
        <v>70.494399999642965</v>
      </c>
      <c r="N32" s="19">
        <f t="shared" si="10"/>
        <v>14.649086383276018</v>
      </c>
      <c r="O32" s="19">
        <f t="shared" si="11"/>
        <v>0.32492414088926697</v>
      </c>
      <c r="P32" s="19">
        <f t="shared" si="2"/>
        <v>70.366025859110735</v>
      </c>
      <c r="R32" s="19">
        <f t="shared" si="12"/>
        <v>19.441992163039153</v>
      </c>
      <c r="S32" s="19">
        <f t="shared" si="13"/>
        <v>0.48003836011907414</v>
      </c>
      <c r="T32" s="19">
        <f t="shared" si="3"/>
        <v>70.210911639880933</v>
      </c>
      <c r="V32" s="19">
        <f t="shared" si="14"/>
        <v>23.174854658342671</v>
      </c>
      <c r="W32" s="19">
        <f t="shared" si="15"/>
        <v>0.62884602557157976</v>
      </c>
      <c r="X32" s="19">
        <f t="shared" si="4"/>
        <v>70.062103974428425</v>
      </c>
      <c r="Z32" s="19">
        <f t="shared" si="16"/>
        <v>68.599025969875285</v>
      </c>
      <c r="AA32" s="19">
        <f t="shared" si="17"/>
        <v>6.2549100907632837</v>
      </c>
      <c r="AB32" s="19">
        <f t="shared" si="5"/>
        <v>64.436039909236712</v>
      </c>
    </row>
    <row r="33" spans="2:28" x14ac:dyDescent="0.3">
      <c r="B33" s="10">
        <v>1422.95</v>
      </c>
      <c r="C33" s="10">
        <v>80.7273</v>
      </c>
      <c r="D33" s="10">
        <f t="shared" si="6"/>
        <v>72.654570000000007</v>
      </c>
      <c r="E33" s="4"/>
      <c r="F33" s="19">
        <f t="shared" si="7"/>
        <v>14.926724032381298</v>
      </c>
      <c r="G33" s="19">
        <f t="shared" si="8"/>
        <v>0.33296534680184908</v>
      </c>
      <c r="H33" s="19">
        <f t="shared" si="18"/>
        <v>72.321604653198165</v>
      </c>
      <c r="J33" s="19">
        <f t="shared" si="0"/>
        <v>9.7870348184396825</v>
      </c>
      <c r="K33" s="19">
        <f t="shared" si="9"/>
        <v>0.19921698967570864</v>
      </c>
      <c r="L33" s="19">
        <f t="shared" si="1"/>
        <v>72.455353010324302</v>
      </c>
      <c r="N33" s="19">
        <f t="shared" si="10"/>
        <v>14.822841608711421</v>
      </c>
      <c r="O33" s="19">
        <f t="shared" si="11"/>
        <v>0.32994429296844074</v>
      </c>
      <c r="P33" s="19">
        <f t="shared" si="2"/>
        <v>72.324625707031572</v>
      </c>
      <c r="R33" s="19">
        <f t="shared" si="12"/>
        <v>19.672596833038153</v>
      </c>
      <c r="S33" s="19">
        <f t="shared" si="13"/>
        <v>0.48845834947038153</v>
      </c>
      <c r="T33" s="19">
        <f t="shared" si="3"/>
        <v>72.166111650529629</v>
      </c>
      <c r="V33" s="19">
        <f t="shared" si="14"/>
        <v>23.44973542498148</v>
      </c>
      <c r="W33" s="19">
        <f t="shared" si="15"/>
        <v>0.64092211287702294</v>
      </c>
      <c r="X33" s="19">
        <f t="shared" si="4"/>
        <v>72.013647887122985</v>
      </c>
      <c r="Z33" s="19">
        <f t="shared" si="16"/>
        <v>69.412690311130902</v>
      </c>
      <c r="AA33" s="19">
        <f t="shared" si="17"/>
        <v>6.4488533162305917</v>
      </c>
      <c r="AB33" s="19">
        <f t="shared" si="5"/>
        <v>66.20571668376941</v>
      </c>
    </row>
    <row r="34" spans="2:28" x14ac:dyDescent="0.3">
      <c r="B34" s="10">
        <v>1445.19</v>
      </c>
      <c r="C34" s="10">
        <v>82.909099999999995</v>
      </c>
      <c r="D34" s="10">
        <f t="shared" si="6"/>
        <v>74.618189999999998</v>
      </c>
      <c r="E34" s="4"/>
      <c r="F34" s="19">
        <f t="shared" si="7"/>
        <v>15.160021296853104</v>
      </c>
      <c r="G34" s="19">
        <f t="shared" si="8"/>
        <v>0.33980424918981805</v>
      </c>
      <c r="H34" s="19">
        <f t="shared" si="18"/>
        <v>74.278385750810187</v>
      </c>
      <c r="J34" s="19">
        <f t="shared" si="0"/>
        <v>9.9400012995965028</v>
      </c>
      <c r="K34" s="19">
        <f t="shared" si="9"/>
        <v>0.20279147039810164</v>
      </c>
      <c r="L34" s="19">
        <f t="shared" si="1"/>
        <v>74.415398529601902</v>
      </c>
      <c r="N34" s="19">
        <f t="shared" si="10"/>
        <v>15.054515242625293</v>
      </c>
      <c r="O34" s="19">
        <f t="shared" si="11"/>
        <v>0.33670208223495246</v>
      </c>
      <c r="P34" s="19">
        <f t="shared" si="2"/>
        <v>74.281487917765048</v>
      </c>
      <c r="R34" s="19">
        <f t="shared" si="12"/>
        <v>19.980069726370154</v>
      </c>
      <c r="S34" s="19">
        <f t="shared" si="13"/>
        <v>0.49983520720834379</v>
      </c>
      <c r="T34" s="19">
        <f t="shared" si="3"/>
        <v>74.118354792791649</v>
      </c>
      <c r="V34" s="19">
        <f t="shared" si="14"/>
        <v>23.816243113833224</v>
      </c>
      <c r="W34" s="19">
        <f t="shared" si="15"/>
        <v>0.65727796075967349</v>
      </c>
      <c r="X34" s="19">
        <f t="shared" si="4"/>
        <v>73.960912039240327</v>
      </c>
      <c r="Z34" s="19">
        <f t="shared" si="16"/>
        <v>70.497576099471701</v>
      </c>
      <c r="AA34" s="19">
        <f t="shared" si="17"/>
        <v>6.7140423505854283</v>
      </c>
      <c r="AB34" s="19">
        <f t="shared" si="5"/>
        <v>67.904147649414568</v>
      </c>
    </row>
    <row r="35" spans="2:28" x14ac:dyDescent="0.3">
      <c r="B35" s="10">
        <v>1461.87</v>
      </c>
      <c r="C35" s="10">
        <v>85.090900000000005</v>
      </c>
      <c r="D35" s="10">
        <f t="shared" si="6"/>
        <v>76.581810000000004</v>
      </c>
      <c r="E35" s="4"/>
      <c r="F35" s="19">
        <f t="shared" si="7"/>
        <v>15.334994245206961</v>
      </c>
      <c r="G35" s="19">
        <f t="shared" si="8"/>
        <v>0.34498327625944347</v>
      </c>
      <c r="H35" s="19">
        <f t="shared" si="18"/>
        <v>76.236826723740563</v>
      </c>
      <c r="J35" s="19">
        <f t="shared" si="0"/>
        <v>10.054726160464117</v>
      </c>
      <c r="K35" s="19">
        <f t="shared" si="9"/>
        <v>0.20548638259493682</v>
      </c>
      <c r="L35" s="19">
        <f t="shared" si="1"/>
        <v>76.376323617405063</v>
      </c>
      <c r="N35" s="19">
        <f t="shared" si="10"/>
        <v>15.228270468060693</v>
      </c>
      <c r="O35" s="19">
        <f t="shared" si="11"/>
        <v>0.34181924089218824</v>
      </c>
      <c r="P35" s="19">
        <f t="shared" si="2"/>
        <v>76.239990759107812</v>
      </c>
      <c r="R35" s="19">
        <f t="shared" si="12"/>
        <v>20.21067439636915</v>
      </c>
      <c r="S35" s="19">
        <f t="shared" si="13"/>
        <v>0.50848196982638993</v>
      </c>
      <c r="T35" s="19">
        <f t="shared" si="3"/>
        <v>76.073328030173613</v>
      </c>
      <c r="V35" s="19">
        <f t="shared" si="14"/>
        <v>24.091123880472029</v>
      </c>
      <c r="W35" s="19">
        <f t="shared" si="15"/>
        <v>0.66973812711839542</v>
      </c>
      <c r="X35" s="19">
        <f t="shared" si="4"/>
        <v>75.912071872881612</v>
      </c>
      <c r="Z35" s="19">
        <f t="shared" si="16"/>
        <v>71.311240440727303</v>
      </c>
      <c r="AA35" s="19">
        <f t="shared" si="17"/>
        <v>6.9179470456268257</v>
      </c>
      <c r="AB35" s="19">
        <f t="shared" si="5"/>
        <v>69.663862954373172</v>
      </c>
    </row>
    <row r="36" spans="2:28" x14ac:dyDescent="0.3">
      <c r="B36" s="10">
        <v>1484.11</v>
      </c>
      <c r="C36" s="10">
        <v>87.2727</v>
      </c>
      <c r="D36" s="10">
        <f t="shared" si="6"/>
        <v>78.545429999999996</v>
      </c>
      <c r="E36" s="4"/>
      <c r="F36" s="19">
        <f t="shared" si="7"/>
        <v>15.568291509678767</v>
      </c>
      <c r="G36" s="19">
        <f t="shared" si="8"/>
        <v>0.35195605154936732</v>
      </c>
      <c r="H36" s="19">
        <f t="shared" si="18"/>
        <v>78.193473948450631</v>
      </c>
      <c r="J36" s="19">
        <f t="shared" si="0"/>
        <v>10.207692641620937</v>
      </c>
      <c r="K36" s="19">
        <f t="shared" si="9"/>
        <v>0.20909859903092118</v>
      </c>
      <c r="L36" s="19">
        <f t="shared" si="1"/>
        <v>78.336331400969073</v>
      </c>
      <c r="N36" s="19">
        <f t="shared" si="10"/>
        <v>15.459944101974562</v>
      </c>
      <c r="O36" s="19">
        <f t="shared" si="11"/>
        <v>0.34870812740538065</v>
      </c>
      <c r="P36" s="19">
        <f t="shared" si="2"/>
        <v>78.196721872594622</v>
      </c>
      <c r="R36" s="19">
        <f t="shared" si="12"/>
        <v>20.518147289701147</v>
      </c>
      <c r="S36" s="19">
        <f t="shared" si="13"/>
        <v>0.52016529493475272</v>
      </c>
      <c r="T36" s="19">
        <f t="shared" si="3"/>
        <v>78.02526470506524</v>
      </c>
      <c r="V36" s="19">
        <f t="shared" si="14"/>
        <v>24.457631569323773</v>
      </c>
      <c r="W36" s="19">
        <f t="shared" si="15"/>
        <v>0.68661302955794812</v>
      </c>
      <c r="X36" s="19">
        <f t="shared" si="4"/>
        <v>77.858816970442049</v>
      </c>
      <c r="Z36" s="19">
        <f t="shared" si="16"/>
        <v>72.396126229068116</v>
      </c>
      <c r="AA36" s="19">
        <f t="shared" si="17"/>
        <v>7.1965982725478428</v>
      </c>
      <c r="AB36" s="19">
        <f t="shared" si="5"/>
        <v>71.348831727452151</v>
      </c>
    </row>
    <row r="37" spans="2:28" x14ac:dyDescent="0.3">
      <c r="B37" s="10">
        <v>1500.79</v>
      </c>
      <c r="C37" s="10">
        <v>89.454499999999996</v>
      </c>
      <c r="D37" s="10">
        <f t="shared" si="6"/>
        <v>80.509050000000002</v>
      </c>
      <c r="E37" s="4"/>
      <c r="F37" s="19">
        <f t="shared" si="7"/>
        <v>15.743264458032627</v>
      </c>
      <c r="G37" s="19">
        <f t="shared" si="8"/>
        <v>0.3572368275229631</v>
      </c>
      <c r="H37" s="19">
        <f t="shared" si="18"/>
        <v>80.151813172477034</v>
      </c>
      <c r="J37" s="19">
        <f t="shared" si="0"/>
        <v>10.322417502488555</v>
      </c>
      <c r="K37" s="19">
        <f t="shared" si="9"/>
        <v>0.21182219191998311</v>
      </c>
      <c r="L37" s="19">
        <f t="shared" si="1"/>
        <v>80.297227808080024</v>
      </c>
      <c r="N37" s="19">
        <f t="shared" si="10"/>
        <v>15.633699327409969</v>
      </c>
      <c r="O37" s="19">
        <f t="shared" si="11"/>
        <v>0.35392492535457565</v>
      </c>
      <c r="P37" s="19">
        <f t="shared" si="2"/>
        <v>80.155125074645426</v>
      </c>
      <c r="R37" s="19">
        <f t="shared" si="12"/>
        <v>20.748751959700151</v>
      </c>
      <c r="S37" s="19">
        <f t="shared" si="13"/>
        <v>0.52904498534166133</v>
      </c>
      <c r="T37" s="19">
        <f t="shared" si="3"/>
        <v>79.980005014658346</v>
      </c>
      <c r="V37" s="19">
        <f t="shared" si="14"/>
        <v>24.732512335962582</v>
      </c>
      <c r="W37" s="19">
        <f t="shared" si="15"/>
        <v>0.6994676986987447</v>
      </c>
      <c r="X37" s="19">
        <f t="shared" si="4"/>
        <v>79.809582301301262</v>
      </c>
      <c r="Z37" s="19">
        <f t="shared" si="16"/>
        <v>73.209790570323719</v>
      </c>
      <c r="AA37" s="19">
        <f t="shared" si="17"/>
        <v>7.4107347868644116</v>
      </c>
      <c r="AB37" s="19">
        <f t="shared" si="5"/>
        <v>73.098315213135592</v>
      </c>
    </row>
    <row r="38" spans="2:28" x14ac:dyDescent="0.3">
      <c r="B38" s="10">
        <v>1511.91</v>
      </c>
      <c r="C38" s="10">
        <v>91.636399999999995</v>
      </c>
      <c r="D38" s="10">
        <f t="shared" si="6"/>
        <v>82.472759999999994</v>
      </c>
      <c r="E38" s="4"/>
      <c r="F38" s="19">
        <f t="shared" si="7"/>
        <v>15.859913090268533</v>
      </c>
      <c r="G38" s="19">
        <f t="shared" si="8"/>
        <v>0.36078199750710038</v>
      </c>
      <c r="H38" s="19">
        <f t="shared" si="18"/>
        <v>82.11197800249289</v>
      </c>
      <c r="J38" s="19">
        <f t="shared" si="0"/>
        <v>10.398900743066966</v>
      </c>
      <c r="K38" s="19">
        <f t="shared" si="9"/>
        <v>0.21364486953688239</v>
      </c>
      <c r="L38" s="19">
        <f t="shared" si="1"/>
        <v>82.259115130463115</v>
      </c>
      <c r="N38" s="19">
        <f t="shared" si="10"/>
        <v>15.749536144366903</v>
      </c>
      <c r="O38" s="19">
        <f t="shared" si="11"/>
        <v>0.35742693218607618</v>
      </c>
      <c r="P38" s="19">
        <f t="shared" si="2"/>
        <v>82.115333067813921</v>
      </c>
      <c r="R38" s="19">
        <f t="shared" si="12"/>
        <v>20.90248840636615</v>
      </c>
      <c r="S38" s="19">
        <f t="shared" si="13"/>
        <v>0.53502121485188858</v>
      </c>
      <c r="T38" s="19">
        <f t="shared" si="3"/>
        <v>81.937738785148099</v>
      </c>
      <c r="V38" s="19">
        <f t="shared" si="14"/>
        <v>24.915766180388452</v>
      </c>
      <c r="W38" s="19">
        <f t="shared" si="15"/>
        <v>0.70813306191989556</v>
      </c>
      <c r="X38" s="19">
        <f t="shared" si="4"/>
        <v>81.764626938080099</v>
      </c>
      <c r="Z38" s="19">
        <f t="shared" si="16"/>
        <v>73.752233464494125</v>
      </c>
      <c r="AA38" s="19">
        <f t="shared" si="17"/>
        <v>7.5559715231728939</v>
      </c>
      <c r="AB38" s="19">
        <f t="shared" si="5"/>
        <v>74.916788476827094</v>
      </c>
    </row>
    <row r="39" spans="2:28" x14ac:dyDescent="0.3">
      <c r="B39" s="10">
        <v>1534.15</v>
      </c>
      <c r="C39" s="10">
        <v>94.545500000000004</v>
      </c>
      <c r="D39" s="10">
        <f t="shared" si="6"/>
        <v>85.090950000000007</v>
      </c>
      <c r="E39" s="4"/>
      <c r="F39" s="19">
        <f t="shared" si="7"/>
        <v>16.093210354740339</v>
      </c>
      <c r="G39" s="19">
        <f t="shared" si="8"/>
        <v>0.36793216227669645</v>
      </c>
      <c r="H39" s="19">
        <f t="shared" si="18"/>
        <v>84.723017837723305</v>
      </c>
      <c r="J39" s="19">
        <f t="shared" si="0"/>
        <v>10.551867224223788</v>
      </c>
      <c r="K39" s="19">
        <f t="shared" si="9"/>
        <v>0.21730708801585891</v>
      </c>
      <c r="L39" s="19">
        <f t="shared" si="1"/>
        <v>84.873642911984149</v>
      </c>
      <c r="N39" s="19">
        <f t="shared" si="10"/>
        <v>15.981209778280773</v>
      </c>
      <c r="O39" s="19">
        <f t="shared" si="11"/>
        <v>0.36448953027222769</v>
      </c>
      <c r="P39" s="19">
        <f t="shared" si="2"/>
        <v>84.726460469727783</v>
      </c>
      <c r="R39" s="19">
        <f t="shared" si="12"/>
        <v>21.209961299698151</v>
      </c>
      <c r="S39" s="19">
        <f t="shared" si="13"/>
        <v>0.547110627275743</v>
      </c>
      <c r="T39" s="19">
        <f t="shared" si="3"/>
        <v>84.543839372724264</v>
      </c>
      <c r="V39" s="19">
        <f t="shared" si="14"/>
        <v>25.2822738692402</v>
      </c>
      <c r="W39" s="19">
        <f t="shared" si="15"/>
        <v>0.72569574221759514</v>
      </c>
      <c r="X39" s="19">
        <f t="shared" si="4"/>
        <v>84.365254257782411</v>
      </c>
      <c r="Z39" s="19">
        <f t="shared" si="16"/>
        <v>74.837119252834938</v>
      </c>
      <c r="AA39" s="19">
        <f t="shared" si="17"/>
        <v>7.8524609481137544</v>
      </c>
      <c r="AB39" s="19">
        <f t="shared" si="5"/>
        <v>77.238489051886248</v>
      </c>
    </row>
    <row r="40" spans="2:28" x14ac:dyDescent="0.3">
      <c r="B40" s="10">
        <v>1550.83</v>
      </c>
      <c r="C40" s="10">
        <v>96.7273</v>
      </c>
      <c r="D40" s="10">
        <f t="shared" si="6"/>
        <v>87.054569999999998</v>
      </c>
      <c r="E40" s="4"/>
      <c r="F40" s="19">
        <f t="shared" si="7"/>
        <v>16.268183303094194</v>
      </c>
      <c r="G40" s="19">
        <f t="shared" si="8"/>
        <v>0.37334770865255129</v>
      </c>
      <c r="H40" s="19">
        <f t="shared" si="18"/>
        <v>86.681222291347453</v>
      </c>
      <c r="J40" s="19">
        <f t="shared" si="0"/>
        <v>10.6665920850914</v>
      </c>
      <c r="K40" s="19">
        <f t="shared" si="9"/>
        <v>0.22006866960335017</v>
      </c>
      <c r="L40" s="19">
        <f t="shared" si="1"/>
        <v>86.834501330396648</v>
      </c>
      <c r="N40" s="19">
        <f t="shared" si="10"/>
        <v>16.154965003716175</v>
      </c>
      <c r="O40" s="19">
        <f t="shared" si="11"/>
        <v>0.36983830436007548</v>
      </c>
      <c r="P40" s="19">
        <f t="shared" si="2"/>
        <v>86.684731695639925</v>
      </c>
      <c r="R40" s="19">
        <f t="shared" si="12"/>
        <v>21.440565969697147</v>
      </c>
      <c r="S40" s="19">
        <f t="shared" si="13"/>
        <v>0.55629883964777782</v>
      </c>
      <c r="T40" s="19">
        <f t="shared" si="3"/>
        <v>86.498271160352218</v>
      </c>
      <c r="V40" s="19">
        <f t="shared" si="14"/>
        <v>25.557154635879002</v>
      </c>
      <c r="W40" s="19">
        <f t="shared" si="15"/>
        <v>0.73907294572051274</v>
      </c>
      <c r="X40" s="19">
        <f t="shared" si="4"/>
        <v>86.31549705427949</v>
      </c>
      <c r="Z40" s="19">
        <f t="shared" si="16"/>
        <v>75.650783594090527</v>
      </c>
      <c r="AA40" s="19">
        <f t="shared" si="17"/>
        <v>8.0801499071816156</v>
      </c>
      <c r="AB40" s="19">
        <f t="shared" si="5"/>
        <v>78.974420092818377</v>
      </c>
    </row>
    <row r="41" spans="2:28" x14ac:dyDescent="0.3">
      <c r="B41" s="10">
        <v>1567.51</v>
      </c>
      <c r="C41" s="10">
        <v>99.636399999999995</v>
      </c>
      <c r="D41" s="10">
        <f t="shared" si="6"/>
        <v>89.672759999999997</v>
      </c>
      <c r="E41" s="4"/>
      <c r="F41" s="19">
        <f t="shared" si="7"/>
        <v>16.443156251448052</v>
      </c>
      <c r="G41" s="19">
        <f t="shared" si="8"/>
        <v>0.37880916609154353</v>
      </c>
      <c r="H41" s="19">
        <f t="shared" si="18"/>
        <v>89.293950833908454</v>
      </c>
      <c r="J41" s="19">
        <f t="shared" si="0"/>
        <v>10.781316945959018</v>
      </c>
      <c r="K41" s="19">
        <f t="shared" si="9"/>
        <v>0.22284319247099557</v>
      </c>
      <c r="L41" s="19">
        <f t="shared" si="1"/>
        <v>89.449916807529007</v>
      </c>
      <c r="N41" s="19">
        <f t="shared" si="10"/>
        <v>16.328720229151578</v>
      </c>
      <c r="O41" s="19">
        <f t="shared" si="11"/>
        <v>0.3752320376135318</v>
      </c>
      <c r="P41" s="19">
        <f t="shared" si="2"/>
        <v>89.297527962386468</v>
      </c>
      <c r="R41" s="19">
        <f t="shared" si="12"/>
        <v>21.671170639696143</v>
      </c>
      <c r="S41" s="19">
        <f t="shared" si="13"/>
        <v>0.56559215351971626</v>
      </c>
      <c r="T41" s="19">
        <f t="shared" si="3"/>
        <v>89.10716784648028</v>
      </c>
      <c r="V41" s="19">
        <f t="shared" si="14"/>
        <v>25.83203540251781</v>
      </c>
      <c r="W41" s="19">
        <f t="shared" si="15"/>
        <v>0.75262815646900105</v>
      </c>
      <c r="X41" s="19">
        <f t="shared" si="4"/>
        <v>88.920131843530996</v>
      </c>
      <c r="Z41" s="19">
        <f t="shared" si="16"/>
        <v>76.464447935346129</v>
      </c>
      <c r="AA41" s="19">
        <f t="shared" si="17"/>
        <v>8.3124556599683288</v>
      </c>
      <c r="AB41" s="19">
        <f t="shared" si="5"/>
        <v>81.360304340031661</v>
      </c>
    </row>
    <row r="42" spans="2:28" x14ac:dyDescent="0.3">
      <c r="B42" s="10">
        <v>1584.19</v>
      </c>
      <c r="C42" s="10">
        <v>101.818</v>
      </c>
      <c r="D42" s="10">
        <f t="shared" si="6"/>
        <v>91.636200000000002</v>
      </c>
      <c r="E42" s="4"/>
      <c r="F42" s="19">
        <f t="shared" si="7"/>
        <v>16.61812919980191</v>
      </c>
      <c r="G42" s="19">
        <f t="shared" si="8"/>
        <v>0.38431702839153153</v>
      </c>
      <c r="H42" s="19">
        <f t="shared" si="18"/>
        <v>91.251882971608467</v>
      </c>
      <c r="J42" s="19">
        <f t="shared" si="0"/>
        <v>10.896041806826634</v>
      </c>
      <c r="K42" s="19">
        <f t="shared" si="9"/>
        <v>0.22563079580913348</v>
      </c>
      <c r="L42" s="19">
        <f t="shared" si="1"/>
        <v>91.410569204190864</v>
      </c>
      <c r="N42" s="19">
        <f t="shared" si="10"/>
        <v>16.502475454586985</v>
      </c>
      <c r="O42" s="19">
        <f t="shared" si="11"/>
        <v>0.380671213592292</v>
      </c>
      <c r="P42" s="19">
        <f t="shared" si="2"/>
        <v>91.255528786407709</v>
      </c>
      <c r="R42" s="19">
        <f t="shared" si="12"/>
        <v>21.901775309695147</v>
      </c>
      <c r="S42" s="19">
        <f t="shared" si="13"/>
        <v>0.57499169931398975</v>
      </c>
      <c r="T42" s="19">
        <f t="shared" si="3"/>
        <v>91.061208300686019</v>
      </c>
      <c r="V42" s="19">
        <f t="shared" si="14"/>
        <v>26.106916169156619</v>
      </c>
      <c r="W42" s="19">
        <f t="shared" si="15"/>
        <v>0.76636328902549222</v>
      </c>
      <c r="X42" s="19">
        <f t="shared" si="4"/>
        <v>90.869836710974511</v>
      </c>
      <c r="Z42" s="19">
        <f t="shared" si="16"/>
        <v>77.278112276601746</v>
      </c>
      <c r="AA42" s="19">
        <f t="shared" si="17"/>
        <v>8.5494278625414477</v>
      </c>
      <c r="AB42" s="19">
        <f t="shared" si="5"/>
        <v>83.086772137458553</v>
      </c>
    </row>
    <row r="43" spans="2:28" x14ac:dyDescent="0.3">
      <c r="B43" s="10">
        <v>1606.43</v>
      </c>
      <c r="C43" s="10">
        <v>104.727</v>
      </c>
      <c r="D43" s="10">
        <f t="shared" si="6"/>
        <v>94.254300000000001</v>
      </c>
      <c r="E43" s="4"/>
      <c r="F43" s="19">
        <f t="shared" si="7"/>
        <v>16.851426464273715</v>
      </c>
      <c r="G43" s="19">
        <f t="shared" si="8"/>
        <v>0.39173388360862244</v>
      </c>
      <c r="H43" s="19">
        <f t="shared" si="18"/>
        <v>93.862566116391378</v>
      </c>
      <c r="J43" s="19">
        <f t="shared" si="0"/>
        <v>11.049008287983455</v>
      </c>
      <c r="K43" s="19">
        <f t="shared" si="9"/>
        <v>0.22936818823442212</v>
      </c>
      <c r="L43" s="19">
        <f t="shared" si="1"/>
        <v>94.024931811765583</v>
      </c>
      <c r="N43" s="19">
        <f t="shared" si="10"/>
        <v>16.73414908850085</v>
      </c>
      <c r="O43" s="19">
        <f t="shared" si="11"/>
        <v>0.3879949726966338</v>
      </c>
      <c r="P43" s="19">
        <f t="shared" si="2"/>
        <v>93.866305027303369</v>
      </c>
      <c r="R43" s="19">
        <f t="shared" si="12"/>
        <v>22.209248203027148</v>
      </c>
      <c r="S43" s="19">
        <f t="shared" si="13"/>
        <v>0.58769163051319995</v>
      </c>
      <c r="T43" s="19">
        <f t="shared" si="3"/>
        <v>93.666608369486795</v>
      </c>
      <c r="V43" s="19">
        <f t="shared" si="14"/>
        <v>26.473423858008363</v>
      </c>
      <c r="W43" s="19">
        <f t="shared" si="15"/>
        <v>0.78495998658906985</v>
      </c>
      <c r="X43" s="19">
        <f t="shared" si="4"/>
        <v>93.469340013410928</v>
      </c>
      <c r="Z43" s="19">
        <f t="shared" si="16"/>
        <v>78.362998064942559</v>
      </c>
      <c r="AA43" s="19">
        <f t="shared" si="17"/>
        <v>8.8727355464974806</v>
      </c>
      <c r="AB43" s="19">
        <f t="shared" si="5"/>
        <v>85.38156445350252</v>
      </c>
    </row>
    <row r="44" spans="2:28" x14ac:dyDescent="0.3">
      <c r="B44" s="10">
        <v>1623.11</v>
      </c>
      <c r="C44" s="10">
        <v>107.636</v>
      </c>
      <c r="D44" s="10">
        <f t="shared" si="6"/>
        <v>96.872399999999999</v>
      </c>
      <c r="E44" s="4"/>
      <c r="F44" s="19">
        <f t="shared" si="7"/>
        <v>17.026399412627573</v>
      </c>
      <c r="G44" s="19">
        <f t="shared" si="8"/>
        <v>0.39735194424260628</v>
      </c>
      <c r="H44" s="19">
        <f t="shared" ref="H44:H75" si="19">$D44-G44</f>
        <v>96.475048055757398</v>
      </c>
      <c r="J44" s="19">
        <f t="shared" si="0"/>
        <v>11.163733148851069</v>
      </c>
      <c r="K44" s="19">
        <f t="shared" si="9"/>
        <v>0.23218685396613775</v>
      </c>
      <c r="L44" s="19">
        <f t="shared" ref="L44:L75" si="20">$D44-K44</f>
        <v>96.640213146033858</v>
      </c>
      <c r="N44" s="19">
        <f t="shared" si="10"/>
        <v>16.907904313936253</v>
      </c>
      <c r="O44" s="19">
        <f t="shared" si="11"/>
        <v>0.39354206221102911</v>
      </c>
      <c r="P44" s="19">
        <f t="shared" ref="P44:P75" si="21">$D44-O44</f>
        <v>96.478857937788973</v>
      </c>
      <c r="R44" s="19">
        <f t="shared" si="12"/>
        <v>22.439852873026144</v>
      </c>
      <c r="S44" s="19">
        <f t="shared" si="13"/>
        <v>0.59734344688015151</v>
      </c>
      <c r="T44" s="19">
        <f t="shared" ref="T44:T75" si="22">$D44-S44</f>
        <v>96.275056553119853</v>
      </c>
      <c r="V44" s="19">
        <f t="shared" si="14"/>
        <v>26.748304624647169</v>
      </c>
      <c r="W44" s="19">
        <f t="shared" si="15"/>
        <v>0.79912238221813492</v>
      </c>
      <c r="X44" s="19">
        <f t="shared" ref="X44:X75" si="23">$D44-W44</f>
        <v>96.073277617781869</v>
      </c>
      <c r="Z44" s="19">
        <f t="shared" si="16"/>
        <v>79.176662406198147</v>
      </c>
      <c r="AA44" s="19">
        <f t="shared" si="17"/>
        <v>9.1207892388348633</v>
      </c>
      <c r="AB44" s="19">
        <f t="shared" ref="AB44:AB75" si="24">$D44-AA44</f>
        <v>87.751610761165139</v>
      </c>
    </row>
    <row r="45" spans="2:28" x14ac:dyDescent="0.3">
      <c r="B45" s="10">
        <v>1639.79</v>
      </c>
      <c r="C45" s="10">
        <v>109.818</v>
      </c>
      <c r="D45" s="10">
        <f t="shared" si="6"/>
        <v>98.836200000000005</v>
      </c>
      <c r="E45" s="4"/>
      <c r="F45" s="19">
        <f t="shared" si="7"/>
        <v>17.201372360981431</v>
      </c>
      <c r="G45" s="19">
        <f t="shared" si="8"/>
        <v>0.40301805573044819</v>
      </c>
      <c r="H45" s="19">
        <f t="shared" si="19"/>
        <v>98.433181944269563</v>
      </c>
      <c r="J45" s="19">
        <f t="shared" si="0"/>
        <v>11.278458009718685</v>
      </c>
      <c r="K45" s="19">
        <f t="shared" si="9"/>
        <v>0.23501906413614174</v>
      </c>
      <c r="L45" s="19">
        <f t="shared" si="20"/>
        <v>98.601180935863866</v>
      </c>
      <c r="N45" s="19">
        <f t="shared" si="10"/>
        <v>17.081659539371657</v>
      </c>
      <c r="O45" s="19">
        <f t="shared" si="11"/>
        <v>0.39913620631637914</v>
      </c>
      <c r="P45" s="19">
        <f t="shared" si="21"/>
        <v>98.43706379368362</v>
      </c>
      <c r="R45" s="19">
        <f t="shared" si="12"/>
        <v>22.670457543025147</v>
      </c>
      <c r="S45" s="19">
        <f t="shared" si="13"/>
        <v>0.60710526324420766</v>
      </c>
      <c r="T45" s="19">
        <f t="shared" si="22"/>
        <v>98.229094736755798</v>
      </c>
      <c r="V45" s="19">
        <f t="shared" si="14"/>
        <v>27.023185391285974</v>
      </c>
      <c r="W45" s="19">
        <f t="shared" si="15"/>
        <v>0.81347108152997516</v>
      </c>
      <c r="X45" s="19">
        <f t="shared" si="23"/>
        <v>98.022728918470037</v>
      </c>
      <c r="Z45" s="19">
        <f t="shared" si="16"/>
        <v>79.990326747453764</v>
      </c>
      <c r="AA45" s="19">
        <f t="shared" si="17"/>
        <v>9.373674901183799</v>
      </c>
      <c r="AB45" s="19">
        <f t="shared" si="24"/>
        <v>89.462525098816201</v>
      </c>
    </row>
    <row r="46" spans="2:28" x14ac:dyDescent="0.3">
      <c r="B46" s="10">
        <v>1667.59</v>
      </c>
      <c r="C46" s="10">
        <v>113.455</v>
      </c>
      <c r="D46" s="10">
        <f t="shared" si="6"/>
        <v>102.1095</v>
      </c>
      <c r="E46" s="4"/>
      <c r="F46" s="19">
        <f t="shared" si="7"/>
        <v>17.492993941571189</v>
      </c>
      <c r="G46" s="19">
        <f t="shared" si="8"/>
        <v>0.41256969573146007</v>
      </c>
      <c r="H46" s="19">
        <f t="shared" si="19"/>
        <v>101.69693030426853</v>
      </c>
      <c r="J46" s="19">
        <f t="shared" si="0"/>
        <v>11.469666111164713</v>
      </c>
      <c r="K46" s="19">
        <f t="shared" si="9"/>
        <v>0.23976989121906689</v>
      </c>
      <c r="L46" s="19">
        <f t="shared" si="20"/>
        <v>101.86973010878093</v>
      </c>
      <c r="N46" s="19">
        <f t="shared" si="10"/>
        <v>17.371251581763996</v>
      </c>
      <c r="O46" s="19">
        <f t="shared" si="11"/>
        <v>0.40856565895498553</v>
      </c>
      <c r="P46" s="19">
        <f t="shared" si="21"/>
        <v>101.70093434104501</v>
      </c>
      <c r="R46" s="19">
        <f t="shared" si="12"/>
        <v>23.054798659690142</v>
      </c>
      <c r="S46" s="19">
        <f t="shared" si="13"/>
        <v>0.62362247190545528</v>
      </c>
      <c r="T46" s="19">
        <f t="shared" si="22"/>
        <v>101.48587752809455</v>
      </c>
      <c r="V46" s="19">
        <f t="shared" si="14"/>
        <v>27.481320002350657</v>
      </c>
      <c r="W46" s="19">
        <f t="shared" si="15"/>
        <v>0.83780478861309837</v>
      </c>
      <c r="X46" s="19">
        <f t="shared" si="23"/>
        <v>101.2716952113869</v>
      </c>
      <c r="Z46" s="19">
        <f t="shared" si="16"/>
        <v>81.346433982879759</v>
      </c>
      <c r="AA46" s="19">
        <f t="shared" si="17"/>
        <v>9.8060235845670558</v>
      </c>
      <c r="AB46" s="19">
        <f t="shared" si="24"/>
        <v>92.303476415432939</v>
      </c>
    </row>
    <row r="47" spans="2:28" x14ac:dyDescent="0.3">
      <c r="B47" s="10">
        <v>1695.39</v>
      </c>
      <c r="C47" s="10">
        <v>117.09099999999999</v>
      </c>
      <c r="D47" s="10">
        <f t="shared" si="6"/>
        <v>105.3819</v>
      </c>
      <c r="E47" s="4"/>
      <c r="F47" s="19">
        <f t="shared" si="7"/>
        <v>17.784615522160955</v>
      </c>
      <c r="G47" s="19">
        <f t="shared" si="8"/>
        <v>0.42225846808843776</v>
      </c>
      <c r="H47" s="19">
        <f t="shared" si="19"/>
        <v>104.95964153191156</v>
      </c>
      <c r="J47" s="19">
        <f t="shared" si="0"/>
        <v>11.660874212610741</v>
      </c>
      <c r="K47" s="19">
        <f t="shared" si="9"/>
        <v>0.24455937278122769</v>
      </c>
      <c r="L47" s="19">
        <f t="shared" si="20"/>
        <v>105.13734062721878</v>
      </c>
      <c r="N47" s="19">
        <f t="shared" si="10"/>
        <v>17.660843624156335</v>
      </c>
      <c r="O47" s="19">
        <f t="shared" si="11"/>
        <v>0.41812940071435833</v>
      </c>
      <c r="P47" s="19">
        <f t="shared" si="21"/>
        <v>104.96377059928564</v>
      </c>
      <c r="R47" s="19">
        <f t="shared" si="12"/>
        <v>23.439139776355148</v>
      </c>
      <c r="S47" s="19">
        <f t="shared" si="13"/>
        <v>0.64045360961370223</v>
      </c>
      <c r="T47" s="19">
        <f t="shared" si="22"/>
        <v>104.7414463903863</v>
      </c>
      <c r="V47" s="19">
        <f t="shared" si="14"/>
        <v>27.939454613415336</v>
      </c>
      <c r="W47" s="19">
        <f t="shared" si="15"/>
        <v>0.8626701878700922</v>
      </c>
      <c r="X47" s="19">
        <f t="shared" si="23"/>
        <v>104.51922981212991</v>
      </c>
      <c r="Z47" s="19">
        <f t="shared" si="16"/>
        <v>82.702541218305782</v>
      </c>
      <c r="AA47" s="19">
        <f t="shared" si="17"/>
        <v>10.252162229593846</v>
      </c>
      <c r="AB47" s="19">
        <f t="shared" si="24"/>
        <v>95.129737770406152</v>
      </c>
    </row>
    <row r="48" spans="2:28" x14ac:dyDescent="0.3">
      <c r="B48" s="10">
        <v>1717.63</v>
      </c>
      <c r="C48" s="10">
        <v>120.727</v>
      </c>
      <c r="D48" s="10">
        <f t="shared" si="6"/>
        <v>108.65430000000001</v>
      </c>
      <c r="E48" s="4"/>
      <c r="F48" s="19">
        <f t="shared" si="7"/>
        <v>18.017912786632763</v>
      </c>
      <c r="G48" s="19">
        <f t="shared" si="8"/>
        <v>0.43010975753031994</v>
      </c>
      <c r="H48" s="19">
        <f t="shared" si="19"/>
        <v>108.22419024246969</v>
      </c>
      <c r="J48" s="19">
        <f t="shared" si="0"/>
        <v>11.813840693767562</v>
      </c>
      <c r="K48" s="19">
        <f t="shared" si="9"/>
        <v>0.24841922229261518</v>
      </c>
      <c r="L48" s="19">
        <f t="shared" si="20"/>
        <v>108.4058807777074</v>
      </c>
      <c r="N48" s="19">
        <f t="shared" si="10"/>
        <v>17.892517258070207</v>
      </c>
      <c r="O48" s="19">
        <f t="shared" si="11"/>
        <v>0.42587858669674944</v>
      </c>
      <c r="P48" s="19">
        <f t="shared" si="21"/>
        <v>108.22842141330325</v>
      </c>
      <c r="R48" s="19">
        <f t="shared" si="12"/>
        <v>23.746612669687142</v>
      </c>
      <c r="S48" s="19">
        <f t="shared" si="13"/>
        <v>0.65414806556392313</v>
      </c>
      <c r="T48" s="19">
        <f t="shared" si="22"/>
        <v>108.00015193443609</v>
      </c>
      <c r="V48" s="19">
        <f t="shared" si="14"/>
        <v>28.30596230226708</v>
      </c>
      <c r="W48" s="19">
        <f t="shared" si="15"/>
        <v>0.88295128205732865</v>
      </c>
      <c r="X48" s="19">
        <f t="shared" si="23"/>
        <v>107.77134871794267</v>
      </c>
      <c r="Z48" s="19">
        <f t="shared" si="16"/>
        <v>83.787427006646595</v>
      </c>
      <c r="AA48" s="19">
        <f t="shared" si="17"/>
        <v>10.619156403542076</v>
      </c>
      <c r="AB48" s="19">
        <f t="shared" si="24"/>
        <v>98.035143596457928</v>
      </c>
    </row>
    <row r="49" spans="2:28" x14ac:dyDescent="0.3">
      <c r="B49" s="10">
        <v>1739.87</v>
      </c>
      <c r="C49" s="10">
        <v>123.636</v>
      </c>
      <c r="D49" s="10">
        <f t="shared" si="6"/>
        <v>111.2724</v>
      </c>
      <c r="E49" s="4"/>
      <c r="F49" s="19">
        <f t="shared" si="7"/>
        <v>18.251210051104568</v>
      </c>
      <c r="G49" s="19">
        <f t="shared" si="8"/>
        <v>0.43805144526859935</v>
      </c>
      <c r="H49" s="19">
        <f t="shared" si="19"/>
        <v>110.83434855473141</v>
      </c>
      <c r="J49" s="19">
        <f t="shared" si="0"/>
        <v>11.96680717492438</v>
      </c>
      <c r="K49" s="19">
        <f t="shared" si="9"/>
        <v>0.25230455301918653</v>
      </c>
      <c r="L49" s="19">
        <f t="shared" si="20"/>
        <v>111.02009544698082</v>
      </c>
      <c r="N49" s="19">
        <f t="shared" si="10"/>
        <v>18.124190891984075</v>
      </c>
      <c r="O49" s="19">
        <f t="shared" si="11"/>
        <v>0.43371629670147271</v>
      </c>
      <c r="P49" s="19">
        <f t="shared" si="21"/>
        <v>110.83868370329853</v>
      </c>
      <c r="R49" s="19">
        <f t="shared" si="12"/>
        <v>24.054085563019139</v>
      </c>
      <c r="S49" s="19">
        <f t="shared" si="13"/>
        <v>0.66804946502385465</v>
      </c>
      <c r="T49" s="19">
        <f t="shared" si="22"/>
        <v>110.60435053497615</v>
      </c>
      <c r="V49" s="19">
        <f t="shared" si="14"/>
        <v>28.67246999111882</v>
      </c>
      <c r="W49" s="19">
        <f t="shared" si="15"/>
        <v>0.90358287023547801</v>
      </c>
      <c r="X49" s="19">
        <f t="shared" si="23"/>
        <v>110.36881712976452</v>
      </c>
      <c r="Z49" s="19">
        <f t="shared" si="16"/>
        <v>84.87231279498738</v>
      </c>
      <c r="AA49" s="19">
        <f t="shared" si="17"/>
        <v>10.995240985302395</v>
      </c>
      <c r="AB49" s="19">
        <f t="shared" si="24"/>
        <v>100.27715901469762</v>
      </c>
    </row>
    <row r="50" spans="2:28" x14ac:dyDescent="0.3">
      <c r="B50" s="10">
        <v>1762.11</v>
      </c>
      <c r="C50" s="10">
        <v>126.545</v>
      </c>
      <c r="D50" s="10">
        <f t="shared" si="6"/>
        <v>113.8905</v>
      </c>
      <c r="E50" s="4"/>
      <c r="F50" s="19">
        <f t="shared" si="7"/>
        <v>18.484507315576376</v>
      </c>
      <c r="G50" s="19">
        <f t="shared" si="8"/>
        <v>0.44608470178708937</v>
      </c>
      <c r="H50" s="19">
        <f t="shared" si="19"/>
        <v>113.44441529821292</v>
      </c>
      <c r="J50" s="19">
        <f t="shared" si="0"/>
        <v>12.119773656081202</v>
      </c>
      <c r="K50" s="19">
        <f t="shared" si="9"/>
        <v>0.25621569489359652</v>
      </c>
      <c r="L50" s="19">
        <f t="shared" si="20"/>
        <v>113.63428430510641</v>
      </c>
      <c r="N50" s="19">
        <f t="shared" si="10"/>
        <v>18.355864525897942</v>
      </c>
      <c r="O50" s="19">
        <f t="shared" si="11"/>
        <v>0.44164367694410261</v>
      </c>
      <c r="P50" s="19">
        <f t="shared" si="21"/>
        <v>113.44885632305591</v>
      </c>
      <c r="R50" s="19">
        <f t="shared" si="12"/>
        <v>24.361558456351137</v>
      </c>
      <c r="S50" s="19">
        <f t="shared" si="13"/>
        <v>0.68216048751333236</v>
      </c>
      <c r="T50" s="19">
        <f t="shared" si="22"/>
        <v>113.20833951248667</v>
      </c>
      <c r="V50" s="19">
        <f t="shared" si="14"/>
        <v>29.038977679970561</v>
      </c>
      <c r="W50" s="19">
        <f t="shared" si="15"/>
        <v>0.92456949062660176</v>
      </c>
      <c r="X50" s="19">
        <f t="shared" si="23"/>
        <v>112.96593050937341</v>
      </c>
      <c r="Z50" s="19">
        <f t="shared" si="16"/>
        <v>85.957198583328207</v>
      </c>
      <c r="AA50" s="19">
        <f t="shared" si="17"/>
        <v>11.38053367814604</v>
      </c>
      <c r="AB50" s="19">
        <f t="shared" si="24"/>
        <v>102.50996632185397</v>
      </c>
    </row>
    <row r="51" spans="2:28" x14ac:dyDescent="0.3">
      <c r="B51" s="10">
        <v>1778.79</v>
      </c>
      <c r="C51" s="10">
        <v>129.45500000000001</v>
      </c>
      <c r="D51" s="10">
        <f t="shared" si="6"/>
        <v>116.50950000000002</v>
      </c>
      <c r="E51" s="4"/>
      <c r="F51" s="19">
        <f t="shared" si="7"/>
        <v>18.659480263930234</v>
      </c>
      <c r="G51" s="19">
        <f t="shared" si="8"/>
        <v>0.4521704403071391</v>
      </c>
      <c r="H51" s="19">
        <f t="shared" si="19"/>
        <v>116.05732955969287</v>
      </c>
      <c r="J51" s="19">
        <f t="shared" si="0"/>
        <v>12.234498516948817</v>
      </c>
      <c r="K51" s="19">
        <f t="shared" si="9"/>
        <v>0.2591661883402856</v>
      </c>
      <c r="L51" s="19">
        <f t="shared" si="20"/>
        <v>116.25033381165973</v>
      </c>
      <c r="N51" s="19">
        <f t="shared" si="10"/>
        <v>18.529619751333346</v>
      </c>
      <c r="O51" s="19">
        <f t="shared" si="11"/>
        <v>0.44764874774000751</v>
      </c>
      <c r="P51" s="19">
        <f t="shared" si="21"/>
        <v>116.06185125226001</v>
      </c>
      <c r="R51" s="19">
        <f t="shared" si="12"/>
        <v>24.592163126350137</v>
      </c>
      <c r="S51" s="19">
        <f t="shared" si="13"/>
        <v>0.69288293139223212</v>
      </c>
      <c r="T51" s="19">
        <f t="shared" si="22"/>
        <v>115.81661706860778</v>
      </c>
      <c r="V51" s="19">
        <f t="shared" si="14"/>
        <v>29.31385844660937</v>
      </c>
      <c r="W51" s="19">
        <f t="shared" si="15"/>
        <v>0.94054517583391695</v>
      </c>
      <c r="X51" s="19">
        <f t="shared" si="23"/>
        <v>115.5689548241661</v>
      </c>
      <c r="Z51" s="19">
        <f t="shared" si="16"/>
        <v>86.77086292458381</v>
      </c>
      <c r="AA51" s="19">
        <f t="shared" si="17"/>
        <v>11.675616826551273</v>
      </c>
      <c r="AB51" s="19">
        <f t="shared" si="24"/>
        <v>104.83388317344874</v>
      </c>
    </row>
    <row r="52" spans="2:28" x14ac:dyDescent="0.3">
      <c r="B52" s="10">
        <v>1795.47</v>
      </c>
      <c r="C52" s="10">
        <v>131.636</v>
      </c>
      <c r="D52" s="10">
        <f t="shared" si="6"/>
        <v>118.47239999999999</v>
      </c>
      <c r="E52" s="4"/>
      <c r="F52" s="19">
        <f t="shared" si="7"/>
        <v>18.834453212284089</v>
      </c>
      <c r="G52" s="19">
        <f t="shared" si="8"/>
        <v>0.45830883846106052</v>
      </c>
      <c r="H52" s="19">
        <f t="shared" si="19"/>
        <v>118.01409116153893</v>
      </c>
      <c r="J52" s="19">
        <f t="shared" si="0"/>
        <v>12.349223377816434</v>
      </c>
      <c r="K52" s="19">
        <f t="shared" si="9"/>
        <v>0.26213152533509093</v>
      </c>
      <c r="L52" s="19">
        <f t="shared" si="20"/>
        <v>118.2102684746649</v>
      </c>
      <c r="N52" s="19">
        <f t="shared" si="10"/>
        <v>18.70337497676875</v>
      </c>
      <c r="O52" s="19">
        <f t="shared" si="11"/>
        <v>0.45370538635069074</v>
      </c>
      <c r="P52" s="19">
        <f t="shared" si="21"/>
        <v>118.0186946136493</v>
      </c>
      <c r="R52" s="19">
        <f t="shared" si="12"/>
        <v>24.82276779634914</v>
      </c>
      <c r="S52" s="19">
        <f t="shared" si="13"/>
        <v>0.70372592587759031</v>
      </c>
      <c r="T52" s="19">
        <f t="shared" si="22"/>
        <v>117.7686740741224</v>
      </c>
      <c r="V52" s="19">
        <f t="shared" si="14"/>
        <v>29.588739213248179</v>
      </c>
      <c r="W52" s="19">
        <f t="shared" si="15"/>
        <v>0.95672503397337116</v>
      </c>
      <c r="X52" s="19">
        <f t="shared" si="23"/>
        <v>117.51567496602662</v>
      </c>
      <c r="Z52" s="19">
        <f t="shared" si="16"/>
        <v>87.584527265839412</v>
      </c>
      <c r="AA52" s="19">
        <f t="shared" si="17"/>
        <v>11.975995401598473</v>
      </c>
      <c r="AB52" s="19">
        <f t="shared" si="24"/>
        <v>106.49640459840153</v>
      </c>
    </row>
    <row r="53" spans="2:28" x14ac:dyDescent="0.3">
      <c r="B53" s="10">
        <v>1806.59</v>
      </c>
      <c r="C53" s="10">
        <v>133.81800000000001</v>
      </c>
      <c r="D53" s="10">
        <f t="shared" si="6"/>
        <v>120.43620000000001</v>
      </c>
      <c r="E53" s="4"/>
      <c r="F53" s="19">
        <f t="shared" si="7"/>
        <v>18.951101844519993</v>
      </c>
      <c r="G53" s="19">
        <f t="shared" si="8"/>
        <v>0.46243060309995382</v>
      </c>
      <c r="H53" s="19">
        <f t="shared" si="19"/>
        <v>119.97376939690005</v>
      </c>
      <c r="J53" s="19">
        <f t="shared" si="0"/>
        <v>12.425706618394843</v>
      </c>
      <c r="K53" s="19">
        <f t="shared" si="9"/>
        <v>0.26411673181655088</v>
      </c>
      <c r="L53" s="19">
        <f t="shared" si="20"/>
        <v>120.17208326818346</v>
      </c>
      <c r="N53" s="19">
        <f t="shared" si="10"/>
        <v>18.819211793725685</v>
      </c>
      <c r="O53" s="19">
        <f t="shared" si="11"/>
        <v>0.45777203300537872</v>
      </c>
      <c r="P53" s="19">
        <f t="shared" si="21"/>
        <v>119.97842796699463</v>
      </c>
      <c r="R53" s="19">
        <f t="shared" si="12"/>
        <v>24.976504243015139</v>
      </c>
      <c r="S53" s="19">
        <f t="shared" si="13"/>
        <v>0.71102211966027173</v>
      </c>
      <c r="T53" s="19">
        <f t="shared" si="22"/>
        <v>119.72517788033974</v>
      </c>
      <c r="V53" s="19">
        <f t="shared" si="14"/>
        <v>29.771993057674045</v>
      </c>
      <c r="W53" s="19">
        <f t="shared" si="15"/>
        <v>0.96762598093601337</v>
      </c>
      <c r="X53" s="19">
        <f t="shared" si="23"/>
        <v>119.46857401906399</v>
      </c>
      <c r="Z53" s="19">
        <f t="shared" si="16"/>
        <v>88.12697016000979</v>
      </c>
      <c r="AA53" s="19">
        <f t="shared" si="17"/>
        <v>12.179214210168084</v>
      </c>
      <c r="AB53" s="19">
        <f t="shared" si="24"/>
        <v>108.25698578983193</v>
      </c>
    </row>
    <row r="54" spans="2:28" x14ac:dyDescent="0.3">
      <c r="B54" s="10">
        <v>1817.71</v>
      </c>
      <c r="C54" s="10">
        <v>135.273</v>
      </c>
      <c r="D54" s="10">
        <f t="shared" si="6"/>
        <v>121.7457</v>
      </c>
      <c r="E54" s="4"/>
      <c r="F54" s="19">
        <f t="shared" si="7"/>
        <v>19.067750476755897</v>
      </c>
      <c r="G54" s="19">
        <f t="shared" si="8"/>
        <v>0.46657613779675933</v>
      </c>
      <c r="H54" s="19">
        <f t="shared" si="19"/>
        <v>121.27912386220324</v>
      </c>
      <c r="J54" s="19">
        <f t="shared" si="0"/>
        <v>12.502189858973255</v>
      </c>
      <c r="K54" s="19">
        <f t="shared" si="9"/>
        <v>0.26610863853446159</v>
      </c>
      <c r="L54" s="19">
        <f t="shared" si="20"/>
        <v>121.47959136146554</v>
      </c>
      <c r="N54" s="19">
        <f t="shared" si="10"/>
        <v>18.935048610682621</v>
      </c>
      <c r="O54" s="19">
        <f t="shared" si="11"/>
        <v>0.46186195688122389</v>
      </c>
      <c r="P54" s="19">
        <f t="shared" si="21"/>
        <v>121.28383804311878</v>
      </c>
      <c r="R54" s="19">
        <f t="shared" si="12"/>
        <v>25.130240689681141</v>
      </c>
      <c r="S54" s="19">
        <f t="shared" si="13"/>
        <v>0.71837272884021708</v>
      </c>
      <c r="T54" s="19">
        <f t="shared" si="22"/>
        <v>121.02732727115978</v>
      </c>
      <c r="V54" s="19">
        <f t="shared" si="14"/>
        <v>29.955246902099923</v>
      </c>
      <c r="W54" s="19">
        <f t="shared" si="15"/>
        <v>0.97861908961844501</v>
      </c>
      <c r="X54" s="19">
        <f t="shared" si="23"/>
        <v>120.76708091038155</v>
      </c>
      <c r="Z54" s="19">
        <f t="shared" si="16"/>
        <v>88.669413054180225</v>
      </c>
      <c r="AA54" s="19">
        <f t="shared" si="17"/>
        <v>12.384823323961962</v>
      </c>
      <c r="AB54" s="19">
        <f t="shared" si="24"/>
        <v>109.36087667603803</v>
      </c>
    </row>
    <row r="55" spans="2:28" x14ac:dyDescent="0.3">
      <c r="B55" s="10">
        <v>1828.83</v>
      </c>
      <c r="C55" s="10">
        <v>136.727</v>
      </c>
      <c r="D55" s="10">
        <f t="shared" si="6"/>
        <v>123.05430000000001</v>
      </c>
      <c r="E55" s="4"/>
      <c r="F55" s="19">
        <f t="shared" si="7"/>
        <v>19.184399108991801</v>
      </c>
      <c r="G55" s="19">
        <f t="shared" si="8"/>
        <v>0.47074558886195417</v>
      </c>
      <c r="H55" s="19">
        <f t="shared" si="19"/>
        <v>122.58355441113805</v>
      </c>
      <c r="J55" s="19">
        <f t="shared" si="0"/>
        <v>12.578673099551665</v>
      </c>
      <c r="K55" s="19">
        <f t="shared" si="9"/>
        <v>0.26810728673040479</v>
      </c>
      <c r="L55" s="19">
        <f t="shared" si="20"/>
        <v>122.78619271326961</v>
      </c>
      <c r="N55" s="19">
        <f t="shared" si="10"/>
        <v>19.050885427639557</v>
      </c>
      <c r="O55" s="19">
        <f t="shared" si="11"/>
        <v>0.46597530125517322</v>
      </c>
      <c r="P55" s="19">
        <f t="shared" si="21"/>
        <v>122.58832469874484</v>
      </c>
      <c r="R55" s="19">
        <f t="shared" si="12"/>
        <v>25.28397713634714</v>
      </c>
      <c r="S55" s="19">
        <f t="shared" si="13"/>
        <v>0.72577808835740498</v>
      </c>
      <c r="T55" s="19">
        <f t="shared" si="22"/>
        <v>122.32852191164261</v>
      </c>
      <c r="V55" s="19">
        <f t="shared" si="14"/>
        <v>30.138500746525793</v>
      </c>
      <c r="W55" s="19">
        <f t="shared" si="15"/>
        <v>0.98970492729842297</v>
      </c>
      <c r="X55" s="19">
        <f t="shared" si="23"/>
        <v>122.06459507270159</v>
      </c>
      <c r="Z55" s="19">
        <f t="shared" si="16"/>
        <v>89.211855948350617</v>
      </c>
      <c r="AA55" s="19">
        <f t="shared" si="17"/>
        <v>12.592837455888956</v>
      </c>
      <c r="AB55" s="19">
        <f t="shared" si="24"/>
        <v>110.46146254411106</v>
      </c>
    </row>
    <row r="56" spans="2:28" x14ac:dyDescent="0.3">
      <c r="B56" s="10">
        <v>1845.51</v>
      </c>
      <c r="C56" s="10">
        <v>138.18199999999999</v>
      </c>
      <c r="D56" s="10">
        <f t="shared" si="6"/>
        <v>124.3638</v>
      </c>
      <c r="E56" s="4"/>
      <c r="F56" s="19">
        <f t="shared" si="7"/>
        <v>19.359372057345659</v>
      </c>
      <c r="G56" s="19">
        <f t="shared" si="8"/>
        <v>0.47704492870464354</v>
      </c>
      <c r="H56" s="19">
        <f t="shared" si="19"/>
        <v>123.88675507129535</v>
      </c>
      <c r="J56" s="19">
        <f t="shared" si="0"/>
        <v>12.693397960419279</v>
      </c>
      <c r="K56" s="19">
        <f t="shared" si="9"/>
        <v>0.27111798951159072</v>
      </c>
      <c r="L56" s="19">
        <f t="shared" si="20"/>
        <v>124.0926820104884</v>
      </c>
      <c r="N56" s="19">
        <f t="shared" si="10"/>
        <v>19.224640653074957</v>
      </c>
      <c r="O56" s="19">
        <f t="shared" si="11"/>
        <v>0.47218954466836316</v>
      </c>
      <c r="P56" s="19">
        <f t="shared" si="21"/>
        <v>123.89161045533163</v>
      </c>
      <c r="R56" s="19">
        <f t="shared" si="12"/>
        <v>25.51458180634614</v>
      </c>
      <c r="S56" s="19">
        <f t="shared" si="13"/>
        <v>0.73698951719672334</v>
      </c>
      <c r="T56" s="19">
        <f t="shared" si="22"/>
        <v>123.62681048280328</v>
      </c>
      <c r="V56" s="19">
        <f t="shared" si="14"/>
        <v>30.413381513164598</v>
      </c>
      <c r="W56" s="19">
        <f t="shared" si="15"/>
        <v>1.0065087916088842</v>
      </c>
      <c r="X56" s="19">
        <f t="shared" si="23"/>
        <v>123.35729120839112</v>
      </c>
      <c r="Z56" s="19">
        <f t="shared" si="16"/>
        <v>90.025520289606234</v>
      </c>
      <c r="AA56" s="19">
        <f t="shared" si="17"/>
        <v>12.909400247267332</v>
      </c>
      <c r="AB56" s="19">
        <f t="shared" si="24"/>
        <v>111.45439975273267</v>
      </c>
    </row>
    <row r="57" spans="2:28" x14ac:dyDescent="0.3">
      <c r="B57" s="10">
        <v>1851.07</v>
      </c>
      <c r="C57" s="10">
        <v>140.364</v>
      </c>
      <c r="D57" s="10">
        <f t="shared" si="6"/>
        <v>126.3276</v>
      </c>
      <c r="E57" s="4"/>
      <c r="F57" s="19">
        <f t="shared" si="7"/>
        <v>19.417696373463613</v>
      </c>
      <c r="G57" s="19">
        <f t="shared" si="8"/>
        <v>0.47915682533941772</v>
      </c>
      <c r="H57" s="19">
        <f t="shared" si="19"/>
        <v>125.84844317466059</v>
      </c>
      <c r="J57" s="19">
        <f t="shared" si="0"/>
        <v>12.731639580708485</v>
      </c>
      <c r="K57" s="19">
        <f t="shared" si="9"/>
        <v>0.272124972522716</v>
      </c>
      <c r="L57" s="19">
        <f t="shared" si="20"/>
        <v>126.05547502747729</v>
      </c>
      <c r="N57" s="19">
        <f t="shared" si="10"/>
        <v>19.282559061553425</v>
      </c>
      <c r="O57" s="19">
        <f t="shared" si="11"/>
        <v>0.47427282460517078</v>
      </c>
      <c r="P57" s="19">
        <f t="shared" si="21"/>
        <v>125.85332717539484</v>
      </c>
      <c r="R57" s="19">
        <f t="shared" si="12"/>
        <v>25.591450029679137</v>
      </c>
      <c r="S57" s="19">
        <f t="shared" si="13"/>
        <v>0.7407543981634287</v>
      </c>
      <c r="T57" s="19">
        <f t="shared" si="22"/>
        <v>125.58684560183657</v>
      </c>
      <c r="V57" s="19">
        <f t="shared" si="14"/>
        <v>30.505008435377537</v>
      </c>
      <c r="W57" s="19">
        <f t="shared" si="15"/>
        <v>1.0121570587620485</v>
      </c>
      <c r="X57" s="19">
        <f t="shared" si="23"/>
        <v>125.31544294123796</v>
      </c>
      <c r="Z57" s="19">
        <f t="shared" si="16"/>
        <v>90.296741736691416</v>
      </c>
      <c r="AA57" s="19">
        <f t="shared" si="17"/>
        <v>13.016139625777997</v>
      </c>
      <c r="AB57" s="19">
        <f t="shared" si="24"/>
        <v>113.31146037422201</v>
      </c>
    </row>
    <row r="58" spans="2:28" x14ac:dyDescent="0.3">
      <c r="B58" s="10">
        <v>1867.75</v>
      </c>
      <c r="C58" s="10">
        <v>142.54499999999999</v>
      </c>
      <c r="D58" s="10">
        <f t="shared" si="6"/>
        <v>128.29049999999998</v>
      </c>
      <c r="E58" s="4"/>
      <c r="F58" s="19">
        <f t="shared" si="7"/>
        <v>19.592669321817468</v>
      </c>
      <c r="G58" s="19">
        <f t="shared" si="8"/>
        <v>0.48552912134870646</v>
      </c>
      <c r="H58" s="19">
        <f t="shared" si="19"/>
        <v>127.80497087865128</v>
      </c>
      <c r="J58" s="19">
        <f t="shared" si="0"/>
        <v>12.846364441576101</v>
      </c>
      <c r="K58" s="19">
        <f t="shared" si="9"/>
        <v>0.27515623998104966</v>
      </c>
      <c r="L58" s="19">
        <f t="shared" si="20"/>
        <v>128.01534376001894</v>
      </c>
      <c r="N58" s="19">
        <f t="shared" si="10"/>
        <v>19.456314286988828</v>
      </c>
      <c r="O58" s="19">
        <f t="shared" si="11"/>
        <v>0.48055851154748375</v>
      </c>
      <c r="P58" s="19">
        <f t="shared" si="21"/>
        <v>127.80994148845249</v>
      </c>
      <c r="R58" s="19">
        <f t="shared" si="12"/>
        <v>25.822054699678137</v>
      </c>
      <c r="S58" s="19">
        <f t="shared" si="13"/>
        <v>0.75213284126930724</v>
      </c>
      <c r="T58" s="19">
        <f t="shared" si="22"/>
        <v>127.53836715873068</v>
      </c>
      <c r="V58" s="19">
        <f t="shared" si="14"/>
        <v>30.779889202016346</v>
      </c>
      <c r="W58" s="19">
        <f t="shared" si="15"/>
        <v>1.0292437901066496</v>
      </c>
      <c r="X58" s="19">
        <f t="shared" si="23"/>
        <v>127.26125620989333</v>
      </c>
      <c r="Z58" s="19">
        <f t="shared" si="16"/>
        <v>91.110406077947033</v>
      </c>
      <c r="AA58" s="19">
        <f t="shared" si="17"/>
        <v>13.340038853054235</v>
      </c>
      <c r="AB58" s="19">
        <f t="shared" si="24"/>
        <v>114.95046114694574</v>
      </c>
    </row>
    <row r="59" spans="2:28" x14ac:dyDescent="0.3">
      <c r="B59" s="10">
        <v>1889.99</v>
      </c>
      <c r="C59" s="10">
        <v>145.45500000000001</v>
      </c>
      <c r="D59" s="10">
        <f t="shared" si="6"/>
        <v>130.90950000000001</v>
      </c>
      <c r="E59" s="4"/>
      <c r="F59" s="19">
        <f t="shared" si="7"/>
        <v>19.825966586289276</v>
      </c>
      <c r="G59" s="19">
        <f t="shared" si="8"/>
        <v>0.4941116130549052</v>
      </c>
      <c r="H59" s="19">
        <f t="shared" si="19"/>
        <v>130.4153883869451</v>
      </c>
      <c r="J59" s="19">
        <f t="shared" si="0"/>
        <v>12.999330922732922</v>
      </c>
      <c r="K59" s="19">
        <f t="shared" si="9"/>
        <v>0.27922219871111159</v>
      </c>
      <c r="L59" s="19">
        <f t="shared" si="20"/>
        <v>130.63027780128888</v>
      </c>
      <c r="N59" s="19">
        <f t="shared" si="10"/>
        <v>19.687987920902703</v>
      </c>
      <c r="O59" s="19">
        <f t="shared" si="11"/>
        <v>0.48902373940406257</v>
      </c>
      <c r="P59" s="19">
        <f t="shared" si="21"/>
        <v>130.42047626059593</v>
      </c>
      <c r="R59" s="19">
        <f t="shared" si="12"/>
        <v>26.129527593010138</v>
      </c>
      <c r="S59" s="19">
        <f t="shared" si="13"/>
        <v>0.76750119561049479</v>
      </c>
      <c r="T59" s="19">
        <f t="shared" si="22"/>
        <v>130.14199880438952</v>
      </c>
      <c r="V59" s="19">
        <f t="shared" si="14"/>
        <v>31.146396890868083</v>
      </c>
      <c r="W59" s="19">
        <f t="shared" si="15"/>
        <v>1.0523599155942367</v>
      </c>
      <c r="X59" s="19">
        <f t="shared" si="23"/>
        <v>129.85714008440578</v>
      </c>
      <c r="Z59" s="19">
        <f t="shared" si="16"/>
        <v>92.195291866287832</v>
      </c>
      <c r="AA59" s="19">
        <f t="shared" si="17"/>
        <v>13.780562363733953</v>
      </c>
      <c r="AB59" s="19">
        <f t="shared" si="24"/>
        <v>117.12893763626606</v>
      </c>
    </row>
    <row r="60" spans="2:28" x14ac:dyDescent="0.3">
      <c r="B60" s="10">
        <v>1906.67</v>
      </c>
      <c r="C60" s="10">
        <v>147.636</v>
      </c>
      <c r="D60" s="10">
        <f t="shared" si="6"/>
        <v>132.8724</v>
      </c>
      <c r="E60" s="4"/>
      <c r="F60" s="19">
        <f t="shared" si="7"/>
        <v>20.000939534643134</v>
      </c>
      <c r="G60" s="19">
        <f t="shared" si="8"/>
        <v>0.5006136947132499</v>
      </c>
      <c r="H60" s="19">
        <f t="shared" si="19"/>
        <v>132.37178630528675</v>
      </c>
      <c r="J60" s="19">
        <f t="shared" si="0"/>
        <v>13.11405578360054</v>
      </c>
      <c r="K60" s="19">
        <f t="shared" si="9"/>
        <v>0.2822900497797915</v>
      </c>
      <c r="L60" s="19">
        <f t="shared" si="20"/>
        <v>132.59010995022021</v>
      </c>
      <c r="N60" s="19">
        <f t="shared" si="10"/>
        <v>19.861743146338103</v>
      </c>
      <c r="O60" s="19">
        <f t="shared" si="11"/>
        <v>0.49543652108325964</v>
      </c>
      <c r="P60" s="19">
        <f t="shared" si="21"/>
        <v>132.37696347891674</v>
      </c>
      <c r="R60" s="19">
        <f t="shared" si="12"/>
        <v>26.360132263009138</v>
      </c>
      <c r="S60" s="19">
        <f t="shared" si="13"/>
        <v>0.77917674937880788</v>
      </c>
      <c r="T60" s="19">
        <f t="shared" si="22"/>
        <v>132.09322325062118</v>
      </c>
      <c r="V60" s="19">
        <f t="shared" si="14"/>
        <v>31.421277657506892</v>
      </c>
      <c r="W60" s="19">
        <f t="shared" si="15"/>
        <v>1.0699498543212065</v>
      </c>
      <c r="X60" s="19">
        <f t="shared" si="23"/>
        <v>131.80245014567879</v>
      </c>
      <c r="Z60" s="19">
        <f t="shared" si="16"/>
        <v>93.008956207543449</v>
      </c>
      <c r="AA60" s="19">
        <f t="shared" si="17"/>
        <v>14.11751277145374</v>
      </c>
      <c r="AB60" s="19">
        <f t="shared" si="24"/>
        <v>118.75488722854627</v>
      </c>
    </row>
    <row r="61" spans="2:28" x14ac:dyDescent="0.3">
      <c r="B61" s="10">
        <v>1923.35</v>
      </c>
      <c r="C61" s="10">
        <v>149.81800000000001</v>
      </c>
      <c r="D61" s="10">
        <f t="shared" si="6"/>
        <v>134.83620000000002</v>
      </c>
      <c r="E61" s="4"/>
      <c r="F61" s="19">
        <f t="shared" si="7"/>
        <v>20.175912482996992</v>
      </c>
      <c r="G61" s="19">
        <f t="shared" si="8"/>
        <v>0.5071722217890493</v>
      </c>
      <c r="H61" s="19">
        <f t="shared" si="19"/>
        <v>134.32902777821096</v>
      </c>
      <c r="J61" s="19">
        <f t="shared" si="0"/>
        <v>13.228780644468154</v>
      </c>
      <c r="K61" s="19">
        <f t="shared" si="9"/>
        <v>0.28537381152251745</v>
      </c>
      <c r="L61" s="19">
        <f t="shared" si="20"/>
        <v>134.55082618847752</v>
      </c>
      <c r="N61" s="19">
        <f t="shared" si="10"/>
        <v>20.035498371773507</v>
      </c>
      <c r="O61" s="19">
        <f t="shared" si="11"/>
        <v>0.50190457786823284</v>
      </c>
      <c r="P61" s="19">
        <f t="shared" si="21"/>
        <v>134.33429542213179</v>
      </c>
      <c r="R61" s="19">
        <f t="shared" si="12"/>
        <v>26.590736933008138</v>
      </c>
      <c r="S61" s="19">
        <f t="shared" si="13"/>
        <v>0.79098152032554903</v>
      </c>
      <c r="T61" s="19">
        <f t="shared" si="22"/>
        <v>134.04521847967447</v>
      </c>
      <c r="V61" s="19">
        <f t="shared" si="14"/>
        <v>31.6961584241457</v>
      </c>
      <c r="W61" s="19">
        <f t="shared" si="15"/>
        <v>1.0877586442922924</v>
      </c>
      <c r="X61" s="19">
        <f t="shared" si="23"/>
        <v>133.74844135570774</v>
      </c>
      <c r="Z61" s="19">
        <f t="shared" si="16"/>
        <v>93.822620548799051</v>
      </c>
      <c r="AA61" s="19">
        <f t="shared" si="17"/>
        <v>14.46013930233334</v>
      </c>
      <c r="AB61" s="19">
        <f t="shared" si="24"/>
        <v>120.37606069766667</v>
      </c>
    </row>
    <row r="62" spans="2:28" x14ac:dyDescent="0.3">
      <c r="B62" s="10">
        <v>1945.59</v>
      </c>
      <c r="C62" s="10">
        <v>153.45500000000001</v>
      </c>
      <c r="D62" s="10">
        <f t="shared" si="6"/>
        <v>138.10950000000003</v>
      </c>
      <c r="E62" s="4"/>
      <c r="F62" s="19">
        <f t="shared" si="7"/>
        <v>20.409209747468797</v>
      </c>
      <c r="G62" s="19">
        <f t="shared" si="8"/>
        <v>0.51600558201726987</v>
      </c>
      <c r="H62" s="19">
        <f t="shared" si="19"/>
        <v>137.59349441798275</v>
      </c>
      <c r="J62" s="19">
        <f t="shared" si="0"/>
        <v>13.381747125624976</v>
      </c>
      <c r="K62" s="19">
        <f t="shared" si="9"/>
        <v>0.28951048435945143</v>
      </c>
      <c r="L62" s="19">
        <f t="shared" si="20"/>
        <v>137.81998951564057</v>
      </c>
      <c r="N62" s="19">
        <f t="shared" si="10"/>
        <v>20.267172005687378</v>
      </c>
      <c r="O62" s="19">
        <f t="shared" si="11"/>
        <v>0.51061547286159359</v>
      </c>
      <c r="P62" s="19">
        <f t="shared" si="21"/>
        <v>137.59888452713844</v>
      </c>
      <c r="R62" s="19">
        <f t="shared" si="12"/>
        <v>26.898209826340135</v>
      </c>
      <c r="S62" s="19">
        <f t="shared" si="13"/>
        <v>0.80692417323752808</v>
      </c>
      <c r="T62" s="19">
        <f t="shared" si="22"/>
        <v>137.30257582676251</v>
      </c>
      <c r="V62" s="19">
        <f t="shared" si="14"/>
        <v>32.062666112997448</v>
      </c>
      <c r="W62" s="19">
        <f t="shared" si="15"/>
        <v>1.1118474419759514</v>
      </c>
      <c r="X62" s="19">
        <f t="shared" si="23"/>
        <v>136.99765255802407</v>
      </c>
      <c r="Z62" s="19">
        <f t="shared" si="16"/>
        <v>94.90750633713985</v>
      </c>
      <c r="AA62" s="19">
        <f t="shared" si="17"/>
        <v>14.925890027056649</v>
      </c>
      <c r="AB62" s="19">
        <f t="shared" si="24"/>
        <v>123.18360997294337</v>
      </c>
    </row>
    <row r="63" spans="2:28" x14ac:dyDescent="0.3">
      <c r="B63" s="10">
        <v>1956.71</v>
      </c>
      <c r="C63" s="10">
        <v>154.90899999999999</v>
      </c>
      <c r="D63" s="10">
        <f t="shared" si="6"/>
        <v>139.41810000000001</v>
      </c>
      <c r="E63" s="4"/>
      <c r="F63" s="19">
        <f t="shared" si="7"/>
        <v>20.525858379704705</v>
      </c>
      <c r="G63" s="19">
        <f t="shared" si="8"/>
        <v>0.52046058738444756</v>
      </c>
      <c r="H63" s="19">
        <f t="shared" si="19"/>
        <v>138.89763941261558</v>
      </c>
      <c r="J63" s="19">
        <f t="shared" si="0"/>
        <v>13.458230366203386</v>
      </c>
      <c r="K63" s="19">
        <f t="shared" si="9"/>
        <v>0.29158962379146292</v>
      </c>
      <c r="L63" s="19">
        <f t="shared" si="20"/>
        <v>139.12651037620856</v>
      </c>
      <c r="N63" s="19">
        <f t="shared" si="10"/>
        <v>20.38300882264431</v>
      </c>
      <c r="O63" s="19">
        <f t="shared" si="11"/>
        <v>0.51500845099428827</v>
      </c>
      <c r="P63" s="19">
        <f t="shared" si="21"/>
        <v>138.90309154900572</v>
      </c>
      <c r="R63" s="19">
        <f t="shared" si="12"/>
        <v>27.051946273006134</v>
      </c>
      <c r="S63" s="19">
        <f t="shared" si="13"/>
        <v>0.81498323544403883</v>
      </c>
      <c r="T63" s="19">
        <f t="shared" si="22"/>
        <v>138.60311676455598</v>
      </c>
      <c r="V63" s="19">
        <f t="shared" si="14"/>
        <v>32.245919957423311</v>
      </c>
      <c r="W63" s="19">
        <f t="shared" si="15"/>
        <v>1.1240404362165393</v>
      </c>
      <c r="X63" s="19">
        <f t="shared" si="23"/>
        <v>138.29405956378346</v>
      </c>
      <c r="Z63" s="19">
        <f t="shared" si="16"/>
        <v>95.449949231310256</v>
      </c>
      <c r="AA63" s="19">
        <f t="shared" si="17"/>
        <v>15.162619357842132</v>
      </c>
      <c r="AB63" s="19">
        <f t="shared" si="24"/>
        <v>124.25548064215788</v>
      </c>
    </row>
    <row r="64" spans="2:28" x14ac:dyDescent="0.3">
      <c r="B64" s="10">
        <v>1973.39</v>
      </c>
      <c r="C64" s="10">
        <v>157.09100000000001</v>
      </c>
      <c r="D64" s="10">
        <f t="shared" si="6"/>
        <v>141.3819</v>
      </c>
      <c r="E64" s="4"/>
      <c r="F64" s="19">
        <f t="shared" si="7"/>
        <v>20.700831328058559</v>
      </c>
      <c r="G64" s="19">
        <f t="shared" si="8"/>
        <v>0.52719141349976373</v>
      </c>
      <c r="H64" s="19">
        <f t="shared" si="19"/>
        <v>140.85470858650024</v>
      </c>
      <c r="J64" s="19">
        <f t="shared" si="0"/>
        <v>13.572955227071002</v>
      </c>
      <c r="K64" s="19">
        <f t="shared" si="9"/>
        <v>0.29472195269835971</v>
      </c>
      <c r="L64" s="19">
        <f t="shared" si="20"/>
        <v>141.08717804730165</v>
      </c>
      <c r="N64" s="19">
        <f t="shared" si="10"/>
        <v>20.556764048079717</v>
      </c>
      <c r="O64" s="19">
        <f t="shared" si="11"/>
        <v>0.52164523445476152</v>
      </c>
      <c r="P64" s="19">
        <f t="shared" si="21"/>
        <v>140.86025476554525</v>
      </c>
      <c r="R64" s="19">
        <f t="shared" si="12"/>
        <v>27.282550943005134</v>
      </c>
      <c r="S64" s="19">
        <f t="shared" si="13"/>
        <v>0.82718244046064904</v>
      </c>
      <c r="T64" s="19">
        <f t="shared" si="22"/>
        <v>140.55471755953934</v>
      </c>
      <c r="V64" s="19">
        <f t="shared" si="14"/>
        <v>32.52080072406212</v>
      </c>
      <c r="W64" s="19">
        <f t="shared" si="15"/>
        <v>1.1425172672945638</v>
      </c>
      <c r="X64" s="19">
        <f t="shared" si="23"/>
        <v>140.23938273270545</v>
      </c>
      <c r="Z64" s="19">
        <f t="shared" si="16"/>
        <v>96.263613572565873</v>
      </c>
      <c r="AA64" s="19">
        <f t="shared" si="17"/>
        <v>15.522572194606427</v>
      </c>
      <c r="AB64" s="19">
        <f t="shared" si="24"/>
        <v>125.85932780539358</v>
      </c>
    </row>
    <row r="65" spans="2:28" x14ac:dyDescent="0.3">
      <c r="B65" s="10">
        <v>1984.51</v>
      </c>
      <c r="C65" s="10">
        <v>158.54499999999999</v>
      </c>
      <c r="D65" s="10">
        <f t="shared" si="6"/>
        <v>142.69049999999999</v>
      </c>
      <c r="E65" s="4"/>
      <c r="F65" s="19">
        <f t="shared" si="7"/>
        <v>20.817479960294463</v>
      </c>
      <c r="G65" s="19">
        <f t="shared" si="8"/>
        <v>0.53171105632245275</v>
      </c>
      <c r="H65" s="19">
        <f t="shared" si="19"/>
        <v>142.15878894367754</v>
      </c>
      <c r="J65" s="19">
        <f t="shared" si="0"/>
        <v>13.649438467649412</v>
      </c>
      <c r="K65" s="19">
        <f t="shared" si="9"/>
        <v>0.29681931195285088</v>
      </c>
      <c r="L65" s="19">
        <f t="shared" si="20"/>
        <v>142.39368068804714</v>
      </c>
      <c r="N65" s="19">
        <f t="shared" si="10"/>
        <v>20.672600865036646</v>
      </c>
      <c r="O65" s="19">
        <f t="shared" si="11"/>
        <v>0.526101509881578</v>
      </c>
      <c r="P65" s="19">
        <f t="shared" si="21"/>
        <v>142.1643984901184</v>
      </c>
      <c r="R65" s="19">
        <f t="shared" si="12"/>
        <v>27.436287389671133</v>
      </c>
      <c r="S65" s="19">
        <f t="shared" si="13"/>
        <v>0.83538947339708869</v>
      </c>
      <c r="T65" s="19">
        <f t="shared" si="22"/>
        <v>141.85511052660289</v>
      </c>
      <c r="V65" s="19">
        <f t="shared" si="14"/>
        <v>32.704054568487997</v>
      </c>
      <c r="W65" s="19">
        <f t="shared" si="15"/>
        <v>1.1549608751047384</v>
      </c>
      <c r="X65" s="19">
        <f t="shared" si="23"/>
        <v>141.53553912489525</v>
      </c>
      <c r="Z65" s="19">
        <f t="shared" si="16"/>
        <v>96.806056466736266</v>
      </c>
      <c r="AA65" s="19">
        <f t="shared" si="17"/>
        <v>15.765801435832154</v>
      </c>
      <c r="AB65" s="19">
        <f t="shared" si="24"/>
        <v>126.92469856416783</v>
      </c>
    </row>
    <row r="66" spans="2:28" x14ac:dyDescent="0.3">
      <c r="B66" s="10">
        <v>2001.19</v>
      </c>
      <c r="C66" s="10">
        <v>160</v>
      </c>
      <c r="D66" s="10">
        <f t="shared" si="6"/>
        <v>144</v>
      </c>
      <c r="E66" s="4"/>
      <c r="F66" s="19">
        <f t="shared" si="7"/>
        <v>20.992452908648318</v>
      </c>
      <c r="G66" s="19">
        <f t="shared" si="8"/>
        <v>0.53853952445139497</v>
      </c>
      <c r="H66" s="19">
        <f t="shared" si="19"/>
        <v>143.46146047554859</v>
      </c>
      <c r="J66" s="19">
        <f t="shared" si="0"/>
        <v>13.764163328517029</v>
      </c>
      <c r="K66" s="19">
        <f t="shared" si="9"/>
        <v>0.29997916391338197</v>
      </c>
      <c r="L66" s="19">
        <f t="shared" si="20"/>
        <v>143.70002083608662</v>
      </c>
      <c r="N66" s="19">
        <f t="shared" si="10"/>
        <v>20.846356090472053</v>
      </c>
      <c r="O66" s="19">
        <f t="shared" si="11"/>
        <v>0.53283391089392218</v>
      </c>
      <c r="P66" s="19">
        <f t="shared" si="21"/>
        <v>143.46716608910609</v>
      </c>
      <c r="R66" s="19">
        <f t="shared" si="12"/>
        <v>27.666892059670136</v>
      </c>
      <c r="S66" s="19">
        <f t="shared" si="13"/>
        <v>0.84781220453974648</v>
      </c>
      <c r="T66" s="19">
        <f t="shared" si="22"/>
        <v>143.15218779546026</v>
      </c>
      <c r="V66" s="19">
        <f t="shared" si="14"/>
        <v>32.978935335126806</v>
      </c>
      <c r="W66" s="19">
        <f t="shared" si="15"/>
        <v>1.1738162856516305</v>
      </c>
      <c r="X66" s="19">
        <f t="shared" si="23"/>
        <v>142.82618371434836</v>
      </c>
      <c r="Z66" s="19">
        <f t="shared" si="16"/>
        <v>97.619720807991882</v>
      </c>
      <c r="AA66" s="19">
        <f t="shared" si="17"/>
        <v>16.135573105017279</v>
      </c>
      <c r="AB66" s="19">
        <f t="shared" si="24"/>
        <v>127.86442689498273</v>
      </c>
    </row>
    <row r="67" spans="2:28" x14ac:dyDescent="0.3">
      <c r="B67" s="10">
        <v>2017.87</v>
      </c>
      <c r="C67" s="10">
        <v>162.18199999999999</v>
      </c>
      <c r="D67" s="10">
        <f t="shared" si="6"/>
        <v>145.96379999999999</v>
      </c>
      <c r="E67" s="4"/>
      <c r="F67" s="19">
        <f t="shared" si="7"/>
        <v>21.167425857002176</v>
      </c>
      <c r="G67" s="19">
        <f t="shared" si="8"/>
        <v>0.54542723618565803</v>
      </c>
      <c r="H67" s="19">
        <f t="shared" si="19"/>
        <v>145.41837276381435</v>
      </c>
      <c r="J67" s="19">
        <f t="shared" si="0"/>
        <v>13.878888189384641</v>
      </c>
      <c r="K67" s="19">
        <f t="shared" si="9"/>
        <v>0.30315571529321178</v>
      </c>
      <c r="L67" s="19">
        <f t="shared" si="20"/>
        <v>145.66064428470679</v>
      </c>
      <c r="N67" s="19">
        <f t="shared" si="10"/>
        <v>21.02011131590745</v>
      </c>
      <c r="O67" s="19">
        <f t="shared" si="11"/>
        <v>0.53962432718364883</v>
      </c>
      <c r="P67" s="19">
        <f t="shared" si="21"/>
        <v>145.42417567281635</v>
      </c>
      <c r="R67" s="19">
        <f t="shared" si="12"/>
        <v>27.897496729669133</v>
      </c>
      <c r="S67" s="19">
        <f t="shared" si="13"/>
        <v>0.86037055858793998</v>
      </c>
      <c r="T67" s="19">
        <f t="shared" si="22"/>
        <v>145.10342944141206</v>
      </c>
      <c r="V67" s="19">
        <f t="shared" si="14"/>
        <v>33.253816101765615</v>
      </c>
      <c r="W67" s="19">
        <f t="shared" si="15"/>
        <v>1.1929013966297519</v>
      </c>
      <c r="X67" s="19">
        <f t="shared" si="23"/>
        <v>144.77089860337023</v>
      </c>
      <c r="Z67" s="19">
        <f t="shared" si="16"/>
        <v>98.433385149247471</v>
      </c>
      <c r="AA67" s="19">
        <f t="shared" si="17"/>
        <v>16.511302281744964</v>
      </c>
      <c r="AB67" s="19">
        <f t="shared" si="24"/>
        <v>129.45249771825502</v>
      </c>
    </row>
    <row r="68" spans="2:28" x14ac:dyDescent="0.3">
      <c r="B68" s="10">
        <v>2034.55</v>
      </c>
      <c r="C68" s="10">
        <v>164.364</v>
      </c>
      <c r="D68" s="10">
        <f t="shared" si="6"/>
        <v>147.92760000000001</v>
      </c>
      <c r="E68" s="4"/>
      <c r="F68" s="19">
        <f t="shared" si="7"/>
        <v>21.34239880535603</v>
      </c>
      <c r="G68" s="19">
        <f t="shared" si="8"/>
        <v>0.55237468532310008</v>
      </c>
      <c r="H68" s="19">
        <f t="shared" si="19"/>
        <v>147.37522531467692</v>
      </c>
      <c r="J68" s="19">
        <f t="shared" si="0"/>
        <v>13.993613050252259</v>
      </c>
      <c r="K68" s="19">
        <f t="shared" si="9"/>
        <v>0.30634910528267933</v>
      </c>
      <c r="L68" s="19">
        <f t="shared" si="20"/>
        <v>147.62125089471732</v>
      </c>
      <c r="N68" s="19">
        <f t="shared" si="10"/>
        <v>21.193866541342857</v>
      </c>
      <c r="O68" s="19">
        <f t="shared" si="11"/>
        <v>0.54647324231045435</v>
      </c>
      <c r="P68" s="19">
        <f t="shared" si="21"/>
        <v>147.38112675768957</v>
      </c>
      <c r="R68" s="19">
        <f t="shared" si="12"/>
        <v>28.128101399668132</v>
      </c>
      <c r="S68" s="19">
        <f t="shared" si="13"/>
        <v>0.87306566596410051</v>
      </c>
      <c r="T68" s="19">
        <f t="shared" si="22"/>
        <v>147.05453433403591</v>
      </c>
      <c r="V68" s="19">
        <f t="shared" si="14"/>
        <v>33.528696868404417</v>
      </c>
      <c r="W68" s="19">
        <f t="shared" si="15"/>
        <v>1.2122181226015347</v>
      </c>
      <c r="X68" s="19">
        <f t="shared" si="23"/>
        <v>146.71538187739847</v>
      </c>
      <c r="Z68" s="19">
        <f t="shared" si="16"/>
        <v>99.247049490503073</v>
      </c>
      <c r="AA68" s="19">
        <f t="shared" si="17"/>
        <v>16.893038622082766</v>
      </c>
      <c r="AB68" s="19">
        <f t="shared" si="24"/>
        <v>131.03456137791724</v>
      </c>
    </row>
    <row r="69" spans="2:28" x14ac:dyDescent="0.3">
      <c r="B69" s="10">
        <v>2051.23</v>
      </c>
      <c r="C69" s="10">
        <v>165.81800000000001</v>
      </c>
      <c r="D69" s="10">
        <f t="shared" si="6"/>
        <v>149.23620000000003</v>
      </c>
      <c r="E69" s="4"/>
      <c r="F69" s="19">
        <f t="shared" si="7"/>
        <v>21.517371753709888</v>
      </c>
      <c r="G69" s="19">
        <f t="shared" si="8"/>
        <v>0.55938236566158039</v>
      </c>
      <c r="H69" s="19">
        <f t="shared" si="19"/>
        <v>148.67681763433845</v>
      </c>
      <c r="J69" s="19">
        <f t="shared" si="0"/>
        <v>14.108337911119875</v>
      </c>
      <c r="K69" s="19">
        <f t="shared" si="9"/>
        <v>0.30955947307212306</v>
      </c>
      <c r="L69" s="19">
        <f t="shared" si="20"/>
        <v>148.92664052692791</v>
      </c>
      <c r="N69" s="19">
        <f t="shared" si="10"/>
        <v>21.36762176677826</v>
      </c>
      <c r="O69" s="19">
        <f t="shared" si="11"/>
        <v>0.55338113983403336</v>
      </c>
      <c r="P69" s="19">
        <f t="shared" si="21"/>
        <v>148.68281886016598</v>
      </c>
      <c r="R69" s="19">
        <f t="shared" si="12"/>
        <v>28.358706069667132</v>
      </c>
      <c r="S69" s="19">
        <f t="shared" si="13"/>
        <v>0.88589865709065874</v>
      </c>
      <c r="T69" s="19">
        <f t="shared" si="22"/>
        <v>148.35030134290938</v>
      </c>
      <c r="V69" s="19">
        <f t="shared" si="14"/>
        <v>33.803577635043226</v>
      </c>
      <c r="W69" s="19">
        <f t="shared" si="15"/>
        <v>1.2317683781294109</v>
      </c>
      <c r="X69" s="19">
        <f t="shared" si="23"/>
        <v>148.00443162187062</v>
      </c>
      <c r="Z69" s="19">
        <f t="shared" si="16"/>
        <v>100.06071383175869</v>
      </c>
      <c r="AA69" s="19">
        <f t="shared" si="17"/>
        <v>17.280831782098218</v>
      </c>
      <c r="AB69" s="19">
        <f t="shared" si="24"/>
        <v>131.95536821790182</v>
      </c>
    </row>
    <row r="70" spans="2:28" x14ac:dyDescent="0.3">
      <c r="B70" s="10">
        <v>2067.91</v>
      </c>
      <c r="C70" s="10">
        <v>168</v>
      </c>
      <c r="D70" s="10">
        <f t="shared" si="6"/>
        <v>151.20000000000002</v>
      </c>
      <c r="E70" s="4"/>
      <c r="F70" s="19">
        <f t="shared" si="7"/>
        <v>21.692344702063746</v>
      </c>
      <c r="G70" s="19">
        <f t="shared" si="8"/>
        <v>0.56645077099895713</v>
      </c>
      <c r="H70" s="19">
        <f t="shared" si="19"/>
        <v>150.63354922900106</v>
      </c>
      <c r="J70" s="19">
        <f t="shared" si="0"/>
        <v>14.223062771987491</v>
      </c>
      <c r="K70" s="19">
        <f t="shared" si="9"/>
        <v>0.31278695785188176</v>
      </c>
      <c r="L70" s="19">
        <f t="shared" si="20"/>
        <v>150.88721304214815</v>
      </c>
      <c r="N70" s="19">
        <f t="shared" si="10"/>
        <v>21.54137699221366</v>
      </c>
      <c r="O70" s="19">
        <f t="shared" si="11"/>
        <v>0.56034850331408126</v>
      </c>
      <c r="P70" s="19">
        <f t="shared" si="21"/>
        <v>150.63965149668593</v>
      </c>
      <c r="R70" s="19">
        <f t="shared" si="12"/>
        <v>28.589310739666129</v>
      </c>
      <c r="S70" s="19">
        <f t="shared" si="13"/>
        <v>0.89887066239004554</v>
      </c>
      <c r="T70" s="19">
        <f t="shared" si="22"/>
        <v>150.30112933760998</v>
      </c>
      <c r="V70" s="19">
        <f t="shared" si="14"/>
        <v>34.078458401682035</v>
      </c>
      <c r="W70" s="19">
        <f t="shared" si="15"/>
        <v>1.2515540777758118</v>
      </c>
      <c r="X70" s="19">
        <f t="shared" si="23"/>
        <v>149.94844592222421</v>
      </c>
      <c r="Z70" s="19">
        <f t="shared" si="16"/>
        <v>100.87437817301428</v>
      </c>
      <c r="AA70" s="19">
        <f t="shared" si="17"/>
        <v>17.674731417858865</v>
      </c>
      <c r="AB70" s="19">
        <f t="shared" si="24"/>
        <v>133.52526858214117</v>
      </c>
    </row>
    <row r="71" spans="2:28" x14ac:dyDescent="0.3">
      <c r="B71" s="10">
        <v>2084.59</v>
      </c>
      <c r="C71" s="10">
        <v>169.45500000000001</v>
      </c>
      <c r="D71" s="10">
        <f t="shared" si="6"/>
        <v>152.5095</v>
      </c>
      <c r="E71" s="4"/>
      <c r="F71" s="19">
        <f t="shared" si="7"/>
        <v>21.867317650417604</v>
      </c>
      <c r="G71" s="19">
        <f t="shared" si="8"/>
        <v>0.573580395133089</v>
      </c>
      <c r="H71" s="19">
        <f t="shared" si="19"/>
        <v>151.93591960486691</v>
      </c>
      <c r="J71" s="19">
        <f t="shared" si="0"/>
        <v>14.337787632855107</v>
      </c>
      <c r="K71" s="19">
        <f t="shared" si="9"/>
        <v>0.31603169881229409</v>
      </c>
      <c r="L71" s="19">
        <f t="shared" si="20"/>
        <v>152.19346830118772</v>
      </c>
      <c r="N71" s="19">
        <f t="shared" si="10"/>
        <v>21.715132217649067</v>
      </c>
      <c r="O71" s="19">
        <f t="shared" si="11"/>
        <v>0.56737581631029377</v>
      </c>
      <c r="P71" s="19">
        <f t="shared" si="21"/>
        <v>151.94212418368971</v>
      </c>
      <c r="R71" s="19">
        <f t="shared" si="12"/>
        <v>28.819915409665132</v>
      </c>
      <c r="S71" s="19">
        <f t="shared" si="13"/>
        <v>0.91198281228469191</v>
      </c>
      <c r="T71" s="19">
        <f t="shared" si="22"/>
        <v>151.59751718771531</v>
      </c>
      <c r="V71" s="19">
        <f t="shared" si="14"/>
        <v>34.353339168320844</v>
      </c>
      <c r="W71" s="19">
        <f t="shared" si="15"/>
        <v>1.2715771361031696</v>
      </c>
      <c r="X71" s="19">
        <f t="shared" si="23"/>
        <v>151.23792286389684</v>
      </c>
      <c r="Z71" s="19">
        <f t="shared" si="16"/>
        <v>101.68804251426991</v>
      </c>
      <c r="AA71" s="19">
        <f t="shared" si="17"/>
        <v>18.074787185432264</v>
      </c>
      <c r="AB71" s="19">
        <f t="shared" si="24"/>
        <v>134.43471281456775</v>
      </c>
    </row>
    <row r="72" spans="2:28" x14ac:dyDescent="0.3">
      <c r="B72" s="10">
        <v>2106.83</v>
      </c>
      <c r="C72" s="10">
        <v>172.364</v>
      </c>
      <c r="D72" s="10">
        <f t="shared" si="6"/>
        <v>155.1276</v>
      </c>
      <c r="E72" s="4"/>
      <c r="F72" s="19">
        <f t="shared" si="7"/>
        <v>22.100614914889409</v>
      </c>
      <c r="G72" s="19">
        <f t="shared" si="8"/>
        <v>0.58318264336244208</v>
      </c>
      <c r="H72" s="19">
        <f t="shared" si="19"/>
        <v>154.54441735663755</v>
      </c>
      <c r="J72" s="19">
        <f t="shared" si="0"/>
        <v>14.490754114011926</v>
      </c>
      <c r="K72" s="19">
        <f t="shared" si="9"/>
        <v>0.32038510361642125</v>
      </c>
      <c r="L72" s="19">
        <f t="shared" si="20"/>
        <v>154.80721489638358</v>
      </c>
      <c r="N72" s="19">
        <f t="shared" si="10"/>
        <v>21.946805851562935</v>
      </c>
      <c r="O72" s="19">
        <f t="shared" si="11"/>
        <v>0.57683965755702216</v>
      </c>
      <c r="P72" s="19">
        <f t="shared" si="21"/>
        <v>154.55076034244297</v>
      </c>
      <c r="R72" s="19">
        <f t="shared" si="12"/>
        <v>29.127388302997126</v>
      </c>
      <c r="S72" s="19">
        <f t="shared" si="13"/>
        <v>0.92968563533117043</v>
      </c>
      <c r="T72" s="19">
        <f t="shared" si="22"/>
        <v>154.19791436466883</v>
      </c>
      <c r="V72" s="19">
        <f t="shared" si="14"/>
        <v>34.719846857172584</v>
      </c>
      <c r="W72" s="19">
        <f t="shared" si="15"/>
        <v>1.298647080941387</v>
      </c>
      <c r="X72" s="19">
        <f t="shared" si="23"/>
        <v>153.82895291905862</v>
      </c>
      <c r="Z72" s="19">
        <f t="shared" si="16"/>
        <v>102.77292830261069</v>
      </c>
      <c r="AA72" s="19">
        <f t="shared" si="17"/>
        <v>18.617856905874085</v>
      </c>
      <c r="AB72" s="19">
        <f t="shared" si="24"/>
        <v>136.50974309412592</v>
      </c>
    </row>
    <row r="73" spans="2:28" x14ac:dyDescent="0.3">
      <c r="B73" s="10">
        <v>2123.5100000000002</v>
      </c>
      <c r="C73" s="10">
        <v>174.54499999999999</v>
      </c>
      <c r="D73" s="10">
        <f t="shared" si="6"/>
        <v>157.09049999999999</v>
      </c>
      <c r="E73" s="4"/>
      <c r="F73" s="19">
        <f t="shared" si="7"/>
        <v>22.27558786324327</v>
      </c>
      <c r="G73" s="19">
        <f t="shared" si="8"/>
        <v>0.59045703168067531</v>
      </c>
      <c r="H73" s="19">
        <f t="shared" si="19"/>
        <v>156.50004296831932</v>
      </c>
      <c r="J73" s="19">
        <f t="shared" si="0"/>
        <v>14.605478974879544</v>
      </c>
      <c r="K73" s="19">
        <f t="shared" si="9"/>
        <v>0.32367065029412034</v>
      </c>
      <c r="L73" s="19">
        <f t="shared" si="20"/>
        <v>156.76682934970586</v>
      </c>
      <c r="N73" s="19">
        <f t="shared" si="10"/>
        <v>22.120561076998342</v>
      </c>
      <c r="O73" s="19">
        <f t="shared" si="11"/>
        <v>0.58400873326754477</v>
      </c>
      <c r="P73" s="19">
        <f t="shared" si="21"/>
        <v>156.50649126673244</v>
      </c>
      <c r="R73" s="19">
        <f t="shared" si="12"/>
        <v>29.357992972996136</v>
      </c>
      <c r="S73" s="19">
        <f t="shared" si="13"/>
        <v>0.94312918536865353</v>
      </c>
      <c r="T73" s="19">
        <f t="shared" si="22"/>
        <v>156.14737081463133</v>
      </c>
      <c r="V73" s="19">
        <f t="shared" si="14"/>
        <v>34.9947276238114</v>
      </c>
      <c r="W73" s="19">
        <f t="shared" si="15"/>
        <v>1.3192314217115466</v>
      </c>
      <c r="X73" s="19">
        <f t="shared" si="23"/>
        <v>155.77126857828844</v>
      </c>
      <c r="Z73" s="19">
        <f t="shared" si="16"/>
        <v>103.58659264386633</v>
      </c>
      <c r="AA73" s="19">
        <f t="shared" si="17"/>
        <v>19.032470087939899</v>
      </c>
      <c r="AB73" s="19">
        <f t="shared" si="24"/>
        <v>138.05802991206008</v>
      </c>
    </row>
    <row r="74" spans="2:28" x14ac:dyDescent="0.3">
      <c r="B74" s="10">
        <v>2145.75</v>
      </c>
      <c r="C74" s="10">
        <v>176.727</v>
      </c>
      <c r="D74" s="10">
        <f t="shared" si="6"/>
        <v>159.05430000000001</v>
      </c>
      <c r="E74" s="4"/>
      <c r="F74" s="19">
        <f t="shared" si="7"/>
        <v>22.508885127715075</v>
      </c>
      <c r="G74" s="19">
        <f t="shared" si="8"/>
        <v>0.60025409112550232</v>
      </c>
      <c r="H74" s="19">
        <f t="shared" si="19"/>
        <v>158.45404590887452</v>
      </c>
      <c r="J74" s="19">
        <f t="shared" si="0"/>
        <v>14.758445456036364</v>
      </c>
      <c r="K74" s="19">
        <f t="shared" si="9"/>
        <v>0.32807896793067415</v>
      </c>
      <c r="L74" s="19">
        <f t="shared" si="20"/>
        <v>158.72622103206933</v>
      </c>
      <c r="N74" s="19">
        <f t="shared" si="10"/>
        <v>22.35223471091221</v>
      </c>
      <c r="O74" s="19">
        <f t="shared" si="11"/>
        <v>0.59366334660928433</v>
      </c>
      <c r="P74" s="19">
        <f t="shared" si="21"/>
        <v>158.46063665339074</v>
      </c>
      <c r="R74" s="19">
        <f t="shared" si="12"/>
        <v>29.66546586632813</v>
      </c>
      <c r="S74" s="19">
        <f t="shared" si="13"/>
        <v>0.96127797828699602</v>
      </c>
      <c r="T74" s="19">
        <f t="shared" si="22"/>
        <v>158.09302202171301</v>
      </c>
      <c r="V74" s="19">
        <f t="shared" si="14"/>
        <v>35.361235312663133</v>
      </c>
      <c r="W74" s="19">
        <f t="shared" si="15"/>
        <v>1.3470566922926945</v>
      </c>
      <c r="X74" s="19">
        <f t="shared" si="23"/>
        <v>157.70724330770733</v>
      </c>
      <c r="Z74" s="19">
        <f t="shared" si="16"/>
        <v>104.67147843220712</v>
      </c>
      <c r="AA74" s="19">
        <f t="shared" si="17"/>
        <v>19.595129927505646</v>
      </c>
      <c r="AB74" s="19">
        <f t="shared" si="24"/>
        <v>139.45917007249437</v>
      </c>
    </row>
    <row r="75" spans="2:28" x14ac:dyDescent="0.3">
      <c r="B75" s="10">
        <v>2167.9899999999998</v>
      </c>
      <c r="C75" s="10">
        <v>179.636</v>
      </c>
      <c r="D75" s="10">
        <f t="shared" si="6"/>
        <v>161.67240000000001</v>
      </c>
      <c r="E75" s="4"/>
      <c r="F75" s="19">
        <f t="shared" si="7"/>
        <v>22.742182392186884</v>
      </c>
      <c r="G75" s="19">
        <f t="shared" si="8"/>
        <v>0.61016408068012884</v>
      </c>
      <c r="H75" s="19">
        <f t="shared" si="19"/>
        <v>161.06223591931987</v>
      </c>
      <c r="J75" s="19">
        <f t="shared" si="0"/>
        <v>14.911411937193186</v>
      </c>
      <c r="K75" s="19">
        <f t="shared" si="9"/>
        <v>0.33251911798601475</v>
      </c>
      <c r="L75" s="19">
        <f t="shared" si="20"/>
        <v>161.339880882014</v>
      </c>
      <c r="N75" s="19">
        <f t="shared" si="10"/>
        <v>22.583908344826082</v>
      </c>
      <c r="O75" s="19">
        <f t="shared" si="11"/>
        <v>0.6034285486231592</v>
      </c>
      <c r="P75" s="19">
        <f t="shared" si="21"/>
        <v>161.06897145137685</v>
      </c>
      <c r="R75" s="19">
        <f t="shared" si="12"/>
        <v>29.972938759660124</v>
      </c>
      <c r="S75" s="19">
        <f t="shared" si="13"/>
        <v>0.97968529547189231</v>
      </c>
      <c r="T75" s="19">
        <f t="shared" si="22"/>
        <v>160.69271470452813</v>
      </c>
      <c r="V75" s="19">
        <f t="shared" si="14"/>
        <v>35.727743001514881</v>
      </c>
      <c r="W75" s="19">
        <f t="shared" si="15"/>
        <v>1.3753198176394235</v>
      </c>
      <c r="X75" s="19">
        <f t="shared" si="23"/>
        <v>160.29708018236059</v>
      </c>
      <c r="Z75" s="19">
        <f t="shared" si="16"/>
        <v>105.75636422054791</v>
      </c>
      <c r="AA75" s="19">
        <f t="shared" si="17"/>
        <v>20.169145962854415</v>
      </c>
      <c r="AB75" s="19">
        <f t="shared" si="24"/>
        <v>141.50325403714561</v>
      </c>
    </row>
    <row r="76" spans="2:28" x14ac:dyDescent="0.3">
      <c r="B76" s="10">
        <v>2195.79</v>
      </c>
      <c r="C76" s="10">
        <v>181.81800000000001</v>
      </c>
      <c r="D76" s="10">
        <f t="shared" si="6"/>
        <v>163.6362</v>
      </c>
      <c r="E76" s="4"/>
      <c r="F76" s="19">
        <f t="shared" si="7"/>
        <v>23.033803972776646</v>
      </c>
      <c r="G76" s="19">
        <f t="shared" si="8"/>
        <v>0.62271215874925157</v>
      </c>
      <c r="H76" s="19">
        <f t="shared" ref="H76:H107" si="25">$D76-G76</f>
        <v>163.01348784125076</v>
      </c>
      <c r="J76" s="19">
        <f t="shared" si="0"/>
        <v>15.102620038639214</v>
      </c>
      <c r="K76" s="19">
        <f t="shared" si="9"/>
        <v>0.33811457252588811</v>
      </c>
      <c r="L76" s="19">
        <f t="shared" ref="L76:L107" si="26">$D76-K76</f>
        <v>163.29808542747412</v>
      </c>
      <c r="N76" s="19">
        <f t="shared" si="10"/>
        <v>22.873500387218417</v>
      </c>
      <c r="O76" s="19">
        <f t="shared" si="11"/>
        <v>0.61579231264848178</v>
      </c>
      <c r="P76" s="19">
        <f t="shared" ref="P76:P107" si="27">$D76-O76</f>
        <v>163.02040768735151</v>
      </c>
      <c r="R76" s="19">
        <f t="shared" si="12"/>
        <v>30.357279876325126</v>
      </c>
      <c r="S76" s="19">
        <f t="shared" si="13"/>
        <v>1.0030620737838549</v>
      </c>
      <c r="T76" s="19">
        <f t="shared" ref="T76:T107" si="28">$D76-S76</f>
        <v>162.63313792621614</v>
      </c>
      <c r="V76" s="19">
        <f t="shared" si="14"/>
        <v>36.18587761257956</v>
      </c>
      <c r="W76" s="19">
        <f t="shared" si="15"/>
        <v>1.411271371284601</v>
      </c>
      <c r="X76" s="19">
        <f t="shared" ref="X76:X107" si="29">$D76-W76</f>
        <v>162.22492862871539</v>
      </c>
      <c r="Z76" s="19">
        <f t="shared" si="16"/>
        <v>107.11247145597393</v>
      </c>
      <c r="AA76" s="19">
        <f t="shared" si="17"/>
        <v>20.902814970937509</v>
      </c>
      <c r="AB76" s="19">
        <f t="shared" ref="AB76:AB107" si="30">$D76-AA76</f>
        <v>142.7333850290625</v>
      </c>
    </row>
    <row r="77" spans="2:28" x14ac:dyDescent="0.3">
      <c r="B77" s="10">
        <v>2206.91</v>
      </c>
      <c r="C77" s="10">
        <v>184</v>
      </c>
      <c r="D77" s="10">
        <f t="shared" ref="D77:D140" si="31">C77*$C$3</f>
        <v>165.6</v>
      </c>
      <c r="E77" s="4"/>
      <c r="F77" s="19">
        <f t="shared" ref="F77:F140" si="32">0.3268*$H$10*$C$4*2*PI()*$B77/60*3.6</f>
        <v>23.15045260501255</v>
      </c>
      <c r="G77" s="19">
        <f t="shared" ref="G77:G140" si="33">(50*F77/3.6+0.5272*(F77/3.6)^3)/1000/0.7355</f>
        <v>0.6277818210732744</v>
      </c>
      <c r="H77" s="19">
        <f t="shared" si="25"/>
        <v>164.97221817892671</v>
      </c>
      <c r="J77" s="19">
        <f t="shared" ref="J77:J140" si="34">0.3268*$L$10*$C$4*2*PI()*$B77/60*3.6</f>
        <v>15.179103279217623</v>
      </c>
      <c r="K77" s="19">
        <f t="shared" ref="K77:K140" si="35">(50*J77/3.6+0.5272*(J77/3.6)^3)/1000/0.7355</f>
        <v>0.34036696971612951</v>
      </c>
      <c r="L77" s="19">
        <f t="shared" si="26"/>
        <v>165.25963303028385</v>
      </c>
      <c r="N77" s="19">
        <f t="shared" ref="N77:N140" si="36">0.3268*$P$10*$C$4*2*PI()*$B77/60*3.6</f>
        <v>22.989337204175349</v>
      </c>
      <c r="O77" s="19">
        <f t="shared" ref="O77:O140" si="37">(50*N77/3.6+0.5272*(N77/3.6)^3)/1000/0.7355</f>
        <v>0.62078720374129726</v>
      </c>
      <c r="P77" s="19">
        <f t="shared" si="27"/>
        <v>164.97921279625871</v>
      </c>
      <c r="R77" s="19">
        <f t="shared" ref="R77:R140" si="38">0.3268*$T$10*$C$4*2*PI()*$B77/60*3.6</f>
        <v>30.511016322991129</v>
      </c>
      <c r="S77" s="19">
        <f t="shared" ref="S77:S140" si="39">(50*R77/3.6+0.5272*(R77/3.6)^3)/1000/0.7355</f>
        <v>1.0125282340551136</v>
      </c>
      <c r="T77" s="19">
        <f t="shared" si="28"/>
        <v>164.58747176594488</v>
      </c>
      <c r="V77" s="19">
        <f t="shared" ref="V77:V140" si="40">0.3268*$X$10*$C$4*2*PI()*$B77/60*3.6</f>
        <v>36.369131457005423</v>
      </c>
      <c r="W77" s="19">
        <f t="shared" ref="W77:W140" si="41">(50*V77/3.6+0.5272*(V77/3.6)^3)/1000/0.7355</f>
        <v>1.4258475251469152</v>
      </c>
      <c r="X77" s="19">
        <f t="shared" si="29"/>
        <v>164.17415247485309</v>
      </c>
      <c r="Z77" s="19">
        <f t="shared" ref="Z77:Z140" si="42">0.3268*$AB$10*$C$4*2*PI()*$B77/60*3.6</f>
        <v>107.65491435014432</v>
      </c>
      <c r="AA77" s="19">
        <f t="shared" ref="AA77:AA140" si="43">(50*Z77/3.6+0.5272*(Z77/3.6)^3)/1000/0.7355</f>
        <v>21.201353900188131</v>
      </c>
      <c r="AB77" s="19">
        <f t="shared" si="30"/>
        <v>144.39864609981186</v>
      </c>
    </row>
    <row r="78" spans="2:28" x14ac:dyDescent="0.3">
      <c r="B78" s="10">
        <v>2223.59</v>
      </c>
      <c r="C78" s="10">
        <v>186.18199999999999</v>
      </c>
      <c r="D78" s="10">
        <f t="shared" si="31"/>
        <v>167.56379999999999</v>
      </c>
      <c r="E78" s="4"/>
      <c r="F78" s="19">
        <f t="shared" si="32"/>
        <v>23.325425553366408</v>
      </c>
      <c r="G78" s="19">
        <f t="shared" si="33"/>
        <v>0.63544080509709144</v>
      </c>
      <c r="H78" s="19">
        <f t="shared" si="25"/>
        <v>166.9283591949029</v>
      </c>
      <c r="J78" s="19">
        <f t="shared" si="34"/>
        <v>15.293828140085239</v>
      </c>
      <c r="K78" s="19">
        <f t="shared" si="35"/>
        <v>0.34376092513960493</v>
      </c>
      <c r="L78" s="19">
        <f t="shared" si="26"/>
        <v>167.22003907486038</v>
      </c>
      <c r="N78" s="19">
        <f t="shared" si="36"/>
        <v>23.163092429610757</v>
      </c>
      <c r="O78" s="19">
        <f t="shared" si="37"/>
        <v>0.62833290113814355</v>
      </c>
      <c r="P78" s="19">
        <f t="shared" si="27"/>
        <v>166.93546709886184</v>
      </c>
      <c r="R78" s="19">
        <f t="shared" si="38"/>
        <v>30.741620992990132</v>
      </c>
      <c r="S78" s="19">
        <f t="shared" si="39"/>
        <v>1.0268522164492315</v>
      </c>
      <c r="T78" s="19">
        <f t="shared" si="28"/>
        <v>166.53694778355074</v>
      </c>
      <c r="V78" s="19">
        <f t="shared" si="40"/>
        <v>36.644012223644232</v>
      </c>
      <c r="W78" s="19">
        <f t="shared" si="41"/>
        <v>1.4479230276879278</v>
      </c>
      <c r="X78" s="19">
        <f t="shared" si="29"/>
        <v>166.11587697231207</v>
      </c>
      <c r="Z78" s="19">
        <f t="shared" si="42"/>
        <v>108.46857869139996</v>
      </c>
      <c r="AA78" s="19">
        <f t="shared" si="43"/>
        <v>21.654641835494463</v>
      </c>
      <c r="AB78" s="19">
        <f t="shared" si="30"/>
        <v>145.90915816450553</v>
      </c>
    </row>
    <row r="79" spans="2:28" x14ac:dyDescent="0.3">
      <c r="B79" s="10">
        <v>2240.27</v>
      </c>
      <c r="C79" s="10">
        <v>187.636</v>
      </c>
      <c r="D79" s="10">
        <f t="shared" si="31"/>
        <v>168.8724</v>
      </c>
      <c r="E79" s="4"/>
      <c r="F79" s="19">
        <f t="shared" si="32"/>
        <v>23.500398501720262</v>
      </c>
      <c r="G79" s="19">
        <f t="shared" si="33"/>
        <v>0.64316561669767747</v>
      </c>
      <c r="H79" s="19">
        <f t="shared" si="25"/>
        <v>168.22923438330233</v>
      </c>
      <c r="J79" s="19">
        <f t="shared" si="34"/>
        <v>15.408553000952855</v>
      </c>
      <c r="K79" s="19">
        <f t="shared" si="35"/>
        <v>0.34717343585356186</v>
      </c>
      <c r="L79" s="19">
        <f t="shared" si="26"/>
        <v>168.52522656414644</v>
      </c>
      <c r="N79" s="19">
        <f t="shared" si="36"/>
        <v>23.33684765504616</v>
      </c>
      <c r="O79" s="19">
        <f t="shared" si="37"/>
        <v>0.63594306127497746</v>
      </c>
      <c r="P79" s="19">
        <f t="shared" si="27"/>
        <v>168.23645693872501</v>
      </c>
      <c r="R79" s="19">
        <f t="shared" si="38"/>
        <v>30.972225662989128</v>
      </c>
      <c r="S79" s="19">
        <f t="shared" si="39"/>
        <v>1.0413268940479627</v>
      </c>
      <c r="T79" s="19">
        <f t="shared" si="28"/>
        <v>167.83107310595204</v>
      </c>
      <c r="V79" s="19">
        <f t="shared" si="40"/>
        <v>36.918892990283041</v>
      </c>
      <c r="W79" s="19">
        <f t="shared" si="41"/>
        <v>1.4702537581592601</v>
      </c>
      <c r="X79" s="19">
        <f t="shared" si="29"/>
        <v>167.40214624184074</v>
      </c>
      <c r="Z79" s="19">
        <f t="shared" si="42"/>
        <v>109.28224303265554</v>
      </c>
      <c r="AA79" s="19">
        <f t="shared" si="43"/>
        <v>22.114549359243931</v>
      </c>
      <c r="AB79" s="19">
        <f t="shared" si="30"/>
        <v>146.75785064075606</v>
      </c>
    </row>
    <row r="80" spans="2:28" x14ac:dyDescent="0.3">
      <c r="B80" s="10">
        <v>2262.5100000000002</v>
      </c>
      <c r="C80" s="10">
        <v>189.81800000000001</v>
      </c>
      <c r="D80" s="10">
        <f t="shared" si="31"/>
        <v>170.83620000000002</v>
      </c>
      <c r="E80" s="4"/>
      <c r="F80" s="19">
        <f t="shared" si="32"/>
        <v>23.733695766192074</v>
      </c>
      <c r="G80" s="19">
        <f t="shared" si="33"/>
        <v>0.65356861742899186</v>
      </c>
      <c r="H80" s="19">
        <f t="shared" si="25"/>
        <v>170.18263138257103</v>
      </c>
      <c r="J80" s="19">
        <f t="shared" si="34"/>
        <v>15.561519482109677</v>
      </c>
      <c r="K80" s="19">
        <f t="shared" si="35"/>
        <v>0.35175255449992543</v>
      </c>
      <c r="L80" s="19">
        <f t="shared" si="26"/>
        <v>170.48444744550008</v>
      </c>
      <c r="N80" s="19">
        <f t="shared" si="36"/>
        <v>23.568521288960035</v>
      </c>
      <c r="O80" s="19">
        <f t="shared" si="37"/>
        <v>0.64619105261292675</v>
      </c>
      <c r="P80" s="19">
        <f t="shared" si="27"/>
        <v>170.1900089473871</v>
      </c>
      <c r="R80" s="19">
        <f t="shared" si="38"/>
        <v>31.279698556321129</v>
      </c>
      <c r="S80" s="19">
        <f t="shared" si="39"/>
        <v>1.0608628327588843</v>
      </c>
      <c r="T80" s="19">
        <f t="shared" si="28"/>
        <v>169.77533716724113</v>
      </c>
      <c r="V80" s="19">
        <f t="shared" si="40"/>
        <v>37.285400679134796</v>
      </c>
      <c r="W80" s="19">
        <f t="shared" si="41"/>
        <v>1.5004283957995663</v>
      </c>
      <c r="X80" s="19">
        <f t="shared" si="29"/>
        <v>169.33577160420046</v>
      </c>
      <c r="Z80" s="19">
        <f t="shared" si="42"/>
        <v>110.36712882099637</v>
      </c>
      <c r="AA80" s="19">
        <f t="shared" si="43"/>
        <v>22.738142353790082</v>
      </c>
      <c r="AB80" s="19">
        <f t="shared" si="30"/>
        <v>148.09805764620995</v>
      </c>
    </row>
    <row r="81" spans="2:28" x14ac:dyDescent="0.3">
      <c r="B81" s="10">
        <v>2290.31</v>
      </c>
      <c r="C81" s="10">
        <v>193.45500000000001</v>
      </c>
      <c r="D81" s="10">
        <f t="shared" si="31"/>
        <v>174.10950000000003</v>
      </c>
      <c r="E81" s="4"/>
      <c r="F81" s="19">
        <f t="shared" si="32"/>
        <v>24.025317346781833</v>
      </c>
      <c r="G81" s="19">
        <f t="shared" si="33"/>
        <v>0.66673995493863814</v>
      </c>
      <c r="H81" s="19">
        <f t="shared" si="25"/>
        <v>173.44276004506139</v>
      </c>
      <c r="J81" s="19">
        <f t="shared" si="34"/>
        <v>15.752727583555702</v>
      </c>
      <c r="K81" s="19">
        <f t="shared" si="35"/>
        <v>0.35752369164170889</v>
      </c>
      <c r="L81" s="19">
        <f t="shared" si="26"/>
        <v>173.75197630835831</v>
      </c>
      <c r="N81" s="19">
        <f t="shared" si="36"/>
        <v>23.858113331352364</v>
      </c>
      <c r="O81" s="19">
        <f t="shared" si="37"/>
        <v>0.65916515372235884</v>
      </c>
      <c r="P81" s="19">
        <f t="shared" si="27"/>
        <v>173.45033484627766</v>
      </c>
      <c r="R81" s="19">
        <f t="shared" si="38"/>
        <v>31.664039672986124</v>
      </c>
      <c r="S81" s="19">
        <f t="shared" si="39"/>
        <v>1.0856664022961475</v>
      </c>
      <c r="T81" s="19">
        <f t="shared" si="28"/>
        <v>173.02383359770388</v>
      </c>
      <c r="V81" s="19">
        <f t="shared" si="40"/>
        <v>37.743535290199461</v>
      </c>
      <c r="W81" s="19">
        <f t="shared" si="41"/>
        <v>1.5387964627794977</v>
      </c>
      <c r="X81" s="19">
        <f t="shared" si="29"/>
        <v>172.57070353722054</v>
      </c>
      <c r="Z81" s="19">
        <f t="shared" si="42"/>
        <v>111.72323605642235</v>
      </c>
      <c r="AA81" s="19">
        <f t="shared" si="43"/>
        <v>23.534486021826762</v>
      </c>
      <c r="AB81" s="19">
        <f t="shared" si="30"/>
        <v>150.57501397817327</v>
      </c>
    </row>
    <row r="82" spans="2:28" x14ac:dyDescent="0.3">
      <c r="B82" s="10">
        <v>2312.5500000000002</v>
      </c>
      <c r="C82" s="10">
        <v>196.364</v>
      </c>
      <c r="D82" s="10">
        <f t="shared" si="31"/>
        <v>176.7276</v>
      </c>
      <c r="E82" s="4"/>
      <c r="F82" s="19">
        <f t="shared" si="32"/>
        <v>24.258614611253641</v>
      </c>
      <c r="G82" s="19">
        <f t="shared" si="33"/>
        <v>0.67741252074990566</v>
      </c>
      <c r="H82" s="19">
        <f t="shared" si="25"/>
        <v>176.0501874792501</v>
      </c>
      <c r="J82" s="19">
        <f t="shared" si="34"/>
        <v>15.905694064712524</v>
      </c>
      <c r="K82" s="19">
        <f t="shared" si="35"/>
        <v>0.36217879452762203</v>
      </c>
      <c r="L82" s="19">
        <f t="shared" si="26"/>
        <v>176.36542120547239</v>
      </c>
      <c r="N82" s="19">
        <f t="shared" si="36"/>
        <v>24.089786965266239</v>
      </c>
      <c r="O82" s="19">
        <f t="shared" si="37"/>
        <v>0.66967712110973354</v>
      </c>
      <c r="P82" s="19">
        <f t="shared" si="27"/>
        <v>176.05792287889025</v>
      </c>
      <c r="R82" s="19">
        <f t="shared" si="38"/>
        <v>31.971512566318133</v>
      </c>
      <c r="S82" s="19">
        <f t="shared" si="39"/>
        <v>1.1058194405096482</v>
      </c>
      <c r="T82" s="19">
        <f t="shared" si="28"/>
        <v>175.62178055949036</v>
      </c>
      <c r="V82" s="19">
        <f t="shared" si="40"/>
        <v>38.110042979051215</v>
      </c>
      <c r="W82" s="19">
        <f t="shared" si="41"/>
        <v>1.570016263265221</v>
      </c>
      <c r="X82" s="19">
        <f t="shared" si="29"/>
        <v>175.15758373673478</v>
      </c>
      <c r="Z82" s="19">
        <f t="shared" si="42"/>
        <v>112.80812184476318</v>
      </c>
      <c r="AA82" s="19">
        <f t="shared" si="43"/>
        <v>24.185186347001125</v>
      </c>
      <c r="AB82" s="19">
        <f t="shared" si="30"/>
        <v>152.54241365299887</v>
      </c>
    </row>
    <row r="83" spans="2:28" x14ac:dyDescent="0.3">
      <c r="B83" s="10">
        <v>2345.91</v>
      </c>
      <c r="C83" s="10">
        <v>199.273</v>
      </c>
      <c r="D83" s="10">
        <f t="shared" si="31"/>
        <v>179.34569999999999</v>
      </c>
      <c r="E83" s="4"/>
      <c r="F83" s="19">
        <f t="shared" si="32"/>
        <v>24.60856050796135</v>
      </c>
      <c r="G83" s="19">
        <f t="shared" si="33"/>
        <v>0.69364993912749373</v>
      </c>
      <c r="H83" s="19">
        <f t="shared" si="25"/>
        <v>178.65205006087251</v>
      </c>
      <c r="J83" s="19">
        <f t="shared" si="34"/>
        <v>16.135143786447752</v>
      </c>
      <c r="K83" s="19">
        <f t="shared" si="35"/>
        <v>0.36922587742362811</v>
      </c>
      <c r="L83" s="19">
        <f t="shared" si="26"/>
        <v>178.97647412257638</v>
      </c>
      <c r="N83" s="19">
        <f t="shared" si="36"/>
        <v>24.437297416137046</v>
      </c>
      <c r="O83" s="19">
        <f t="shared" si="37"/>
        <v>0.68566890279992732</v>
      </c>
      <c r="P83" s="19">
        <f t="shared" si="27"/>
        <v>178.66003109720006</v>
      </c>
      <c r="R83" s="19">
        <f t="shared" si="38"/>
        <v>32.432721906316125</v>
      </c>
      <c r="S83" s="19">
        <f t="shared" si="39"/>
        <v>1.1365722489273296</v>
      </c>
      <c r="T83" s="19">
        <f t="shared" si="28"/>
        <v>178.20912775107266</v>
      </c>
      <c r="V83" s="19">
        <f t="shared" si="40"/>
        <v>38.659804512328826</v>
      </c>
      <c r="W83" s="19">
        <f t="shared" si="41"/>
        <v>1.6177321786213874</v>
      </c>
      <c r="X83" s="19">
        <f t="shared" si="29"/>
        <v>177.7279678213786</v>
      </c>
      <c r="Z83" s="19">
        <f t="shared" si="42"/>
        <v>114.43545052727436</v>
      </c>
      <c r="AA83" s="19">
        <f t="shared" si="43"/>
        <v>25.184221686379544</v>
      </c>
      <c r="AB83" s="19">
        <f t="shared" si="30"/>
        <v>154.16147831362045</v>
      </c>
    </row>
    <row r="84" spans="2:28" x14ac:dyDescent="0.3">
      <c r="B84" s="10">
        <v>2368.15</v>
      </c>
      <c r="C84" s="10">
        <v>202.18199999999999</v>
      </c>
      <c r="D84" s="10">
        <f t="shared" si="31"/>
        <v>181.96379999999999</v>
      </c>
      <c r="E84" s="4"/>
      <c r="F84" s="19">
        <f t="shared" si="32"/>
        <v>24.841857772433162</v>
      </c>
      <c r="G84" s="19">
        <f t="shared" si="33"/>
        <v>0.70462897144190484</v>
      </c>
      <c r="H84" s="19">
        <f t="shared" si="25"/>
        <v>181.25917102855809</v>
      </c>
      <c r="J84" s="19">
        <f t="shared" si="34"/>
        <v>16.288110267604576</v>
      </c>
      <c r="K84" s="19">
        <f t="shared" si="35"/>
        <v>0.37396736621751142</v>
      </c>
      <c r="L84" s="19">
        <f t="shared" si="26"/>
        <v>181.58983263378249</v>
      </c>
      <c r="N84" s="19">
        <f t="shared" si="36"/>
        <v>24.668971050050917</v>
      </c>
      <c r="O84" s="19">
        <f t="shared" si="37"/>
        <v>0.69648098256385704</v>
      </c>
      <c r="P84" s="19">
        <f t="shared" si="27"/>
        <v>181.26731901743614</v>
      </c>
      <c r="R84" s="19">
        <f t="shared" si="38"/>
        <v>32.74019479964813</v>
      </c>
      <c r="S84" s="19">
        <f t="shared" si="39"/>
        <v>1.1574268629038329</v>
      </c>
      <c r="T84" s="19">
        <f t="shared" si="28"/>
        <v>180.80637313709616</v>
      </c>
      <c r="V84" s="19">
        <f t="shared" si="40"/>
        <v>39.026312201180566</v>
      </c>
      <c r="W84" s="19">
        <f t="shared" si="41"/>
        <v>1.6501402168510588</v>
      </c>
      <c r="X84" s="19">
        <f t="shared" si="29"/>
        <v>180.31365978314892</v>
      </c>
      <c r="Z84" s="19">
        <f t="shared" si="42"/>
        <v>115.52033631561518</v>
      </c>
      <c r="AA84" s="19">
        <f t="shared" si="43"/>
        <v>25.865740130980324</v>
      </c>
      <c r="AB84" s="19">
        <f t="shared" si="30"/>
        <v>156.09805986901966</v>
      </c>
    </row>
    <row r="85" spans="2:28" x14ac:dyDescent="0.3">
      <c r="B85" s="10">
        <v>2390.39</v>
      </c>
      <c r="C85" s="10">
        <v>204.364</v>
      </c>
      <c r="D85" s="10">
        <f t="shared" si="31"/>
        <v>183.92760000000001</v>
      </c>
      <c r="E85" s="4"/>
      <c r="F85" s="19">
        <f t="shared" si="32"/>
        <v>25.075155036904967</v>
      </c>
      <c r="G85" s="19">
        <f t="shared" si="33"/>
        <v>0.71573263870424642</v>
      </c>
      <c r="H85" s="19">
        <f t="shared" si="25"/>
        <v>183.21186736129576</v>
      </c>
      <c r="J85" s="19">
        <f t="shared" si="34"/>
        <v>16.441076748761393</v>
      </c>
      <c r="K85" s="19">
        <f t="shared" si="35"/>
        <v>0.37874398675672832</v>
      </c>
      <c r="L85" s="19">
        <f t="shared" si="26"/>
        <v>183.5488560132433</v>
      </c>
      <c r="N85" s="19">
        <f t="shared" si="36"/>
        <v>24.900644683964785</v>
      </c>
      <c r="O85" s="19">
        <f t="shared" si="37"/>
        <v>0.70741511315566341</v>
      </c>
      <c r="P85" s="19">
        <f t="shared" si="27"/>
        <v>183.22018488684435</v>
      </c>
      <c r="R85" s="19">
        <f t="shared" si="38"/>
        <v>33.04766769298012</v>
      </c>
      <c r="S85" s="19">
        <f t="shared" si="39"/>
        <v>1.1785667963452495</v>
      </c>
      <c r="T85" s="19">
        <f t="shared" si="28"/>
        <v>182.74903320365476</v>
      </c>
      <c r="V85" s="19">
        <f t="shared" si="40"/>
        <v>39.392819890032307</v>
      </c>
      <c r="W85" s="19">
        <f t="shared" si="41"/>
        <v>1.6830314920669145</v>
      </c>
      <c r="X85" s="19">
        <f t="shared" si="29"/>
        <v>182.24456850793311</v>
      </c>
      <c r="Z85" s="19">
        <f t="shared" si="42"/>
        <v>116.60522210395598</v>
      </c>
      <c r="AA85" s="19">
        <f t="shared" si="43"/>
        <v>26.559791804076294</v>
      </c>
      <c r="AB85" s="19">
        <f t="shared" si="30"/>
        <v>157.36780819592371</v>
      </c>
    </row>
    <row r="86" spans="2:28" x14ac:dyDescent="0.3">
      <c r="B86" s="10">
        <v>2407.0700000000002</v>
      </c>
      <c r="C86" s="10">
        <v>206.54499999999999</v>
      </c>
      <c r="D86" s="10">
        <f t="shared" si="31"/>
        <v>185.8905</v>
      </c>
      <c r="E86" s="4"/>
      <c r="F86" s="19">
        <f t="shared" si="32"/>
        <v>25.250127985258828</v>
      </c>
      <c r="G86" s="19">
        <f t="shared" si="33"/>
        <v>0.72414288495475088</v>
      </c>
      <c r="H86" s="19">
        <f t="shared" si="25"/>
        <v>185.16635711504526</v>
      </c>
      <c r="J86" s="19">
        <f t="shared" si="34"/>
        <v>16.555801609629015</v>
      </c>
      <c r="K86" s="19">
        <f t="shared" si="35"/>
        <v>0.38234970584412925</v>
      </c>
      <c r="L86" s="19">
        <f t="shared" si="26"/>
        <v>185.50815029415588</v>
      </c>
      <c r="N86" s="19">
        <f t="shared" si="36"/>
        <v>25.074399909400189</v>
      </c>
      <c r="O86" s="19">
        <f t="shared" si="37"/>
        <v>0.71569649647561928</v>
      </c>
      <c r="P86" s="19">
        <f t="shared" si="27"/>
        <v>185.17480350352437</v>
      </c>
      <c r="R86" s="19">
        <f t="shared" si="38"/>
        <v>33.278272362979123</v>
      </c>
      <c r="S86" s="19">
        <f t="shared" si="39"/>
        <v>1.1946105992238141</v>
      </c>
      <c r="T86" s="19">
        <f t="shared" si="28"/>
        <v>184.6958894007762</v>
      </c>
      <c r="V86" s="19">
        <f t="shared" si="40"/>
        <v>39.667700656671116</v>
      </c>
      <c r="W86" s="19">
        <f t="shared" si="41"/>
        <v>1.7080198027752</v>
      </c>
      <c r="X86" s="19">
        <f t="shared" si="29"/>
        <v>184.18248019722481</v>
      </c>
      <c r="Z86" s="19">
        <f t="shared" si="42"/>
        <v>117.41888644521161</v>
      </c>
      <c r="AA86" s="19">
        <f t="shared" si="43"/>
        <v>27.088626295972347</v>
      </c>
      <c r="AB86" s="19">
        <f t="shared" si="30"/>
        <v>158.80187370402766</v>
      </c>
    </row>
    <row r="87" spans="2:28" x14ac:dyDescent="0.3">
      <c r="B87" s="10">
        <v>2423.75</v>
      </c>
      <c r="C87" s="10">
        <v>208.727</v>
      </c>
      <c r="D87" s="10">
        <f t="shared" si="31"/>
        <v>187.85429999999999</v>
      </c>
      <c r="E87" s="4"/>
      <c r="F87" s="19">
        <f t="shared" si="32"/>
        <v>25.425100933612683</v>
      </c>
      <c r="G87" s="19">
        <f t="shared" si="33"/>
        <v>0.73262439055846929</v>
      </c>
      <c r="H87" s="19">
        <f t="shared" si="25"/>
        <v>187.12167560944152</v>
      </c>
      <c r="J87" s="19">
        <f t="shared" si="34"/>
        <v>16.670526470496629</v>
      </c>
      <c r="K87" s="19">
        <f t="shared" si="35"/>
        <v>0.38597551131573704</v>
      </c>
      <c r="L87" s="19">
        <f t="shared" si="26"/>
        <v>187.46832448868426</v>
      </c>
      <c r="N87" s="19">
        <f t="shared" si="36"/>
        <v>25.248155134835592</v>
      </c>
      <c r="O87" s="19">
        <f t="shared" si="37"/>
        <v>0.72404766169221146</v>
      </c>
      <c r="P87" s="19">
        <f t="shared" si="27"/>
        <v>187.13025233830777</v>
      </c>
      <c r="R87" s="19">
        <f t="shared" si="38"/>
        <v>33.50887703297812</v>
      </c>
      <c r="S87" s="19">
        <f t="shared" si="39"/>
        <v>1.2108175319537309</v>
      </c>
      <c r="T87" s="19">
        <f t="shared" si="28"/>
        <v>186.64348246804627</v>
      </c>
      <c r="V87" s="19">
        <f t="shared" si="40"/>
        <v>39.942581423309925</v>
      </c>
      <c r="W87" s="19">
        <f t="shared" si="41"/>
        <v>1.7332844016005549</v>
      </c>
      <c r="X87" s="19">
        <f t="shared" si="29"/>
        <v>186.12101559839945</v>
      </c>
      <c r="Z87" s="19">
        <f t="shared" si="42"/>
        <v>118.2325507864672</v>
      </c>
      <c r="AA87" s="19">
        <f t="shared" si="43"/>
        <v>27.624626593054536</v>
      </c>
      <c r="AB87" s="19">
        <f t="shared" si="30"/>
        <v>160.22967340694547</v>
      </c>
    </row>
    <row r="88" spans="2:28" x14ac:dyDescent="0.3">
      <c r="B88" s="10">
        <v>2445.9899999999998</v>
      </c>
      <c r="C88" s="10">
        <v>210.90899999999999</v>
      </c>
      <c r="D88" s="10">
        <f t="shared" si="31"/>
        <v>189.81809999999999</v>
      </c>
      <c r="E88" s="4"/>
      <c r="F88" s="19">
        <f t="shared" si="32"/>
        <v>25.658398198084488</v>
      </c>
      <c r="G88" s="19">
        <f t="shared" si="33"/>
        <v>0.74404476605731895</v>
      </c>
      <c r="H88" s="19">
        <f t="shared" si="25"/>
        <v>189.07405523394266</v>
      </c>
      <c r="J88" s="19">
        <f t="shared" si="34"/>
        <v>16.823492951653449</v>
      </c>
      <c r="K88" s="19">
        <f t="shared" si="35"/>
        <v>0.39084140467365286</v>
      </c>
      <c r="L88" s="19">
        <f t="shared" si="26"/>
        <v>189.42725859532632</v>
      </c>
      <c r="N88" s="19">
        <f t="shared" si="36"/>
        <v>25.479828768749456</v>
      </c>
      <c r="O88" s="19">
        <f t="shared" si="37"/>
        <v>0.73529193404684745</v>
      </c>
      <c r="P88" s="19">
        <f t="shared" si="27"/>
        <v>189.08280806595315</v>
      </c>
      <c r="R88" s="19">
        <f t="shared" si="38"/>
        <v>33.816349926310117</v>
      </c>
      <c r="S88" s="19">
        <f t="shared" si="39"/>
        <v>1.2326824869567157</v>
      </c>
      <c r="T88" s="19">
        <f t="shared" si="28"/>
        <v>188.58541751304327</v>
      </c>
      <c r="V88" s="19">
        <f t="shared" si="40"/>
        <v>40.309089112161672</v>
      </c>
      <c r="W88" s="19">
        <f t="shared" si="41"/>
        <v>1.767403624003391</v>
      </c>
      <c r="X88" s="19">
        <f t="shared" si="29"/>
        <v>188.05069637599661</v>
      </c>
      <c r="Z88" s="19">
        <f t="shared" si="42"/>
        <v>119.31743657480801</v>
      </c>
      <c r="AA88" s="19">
        <f t="shared" si="43"/>
        <v>28.350526289200054</v>
      </c>
      <c r="AB88" s="19">
        <f t="shared" si="30"/>
        <v>161.46757371079994</v>
      </c>
    </row>
    <row r="89" spans="2:28" x14ac:dyDescent="0.3">
      <c r="B89" s="10">
        <v>2479.35</v>
      </c>
      <c r="C89" s="10">
        <v>213.81800000000001</v>
      </c>
      <c r="D89" s="10">
        <f t="shared" si="31"/>
        <v>192.43620000000001</v>
      </c>
      <c r="E89" s="4"/>
      <c r="F89" s="19">
        <f t="shared" si="32"/>
        <v>26.008344094792204</v>
      </c>
      <c r="G89" s="19">
        <f t="shared" si="33"/>
        <v>0.76141706690917832</v>
      </c>
      <c r="H89" s="19">
        <f t="shared" si="25"/>
        <v>191.67478293309082</v>
      </c>
      <c r="J89" s="19">
        <f t="shared" si="34"/>
        <v>17.052942673388678</v>
      </c>
      <c r="K89" s="19">
        <f t="shared" si="35"/>
        <v>0.39820838502002837</v>
      </c>
      <c r="L89" s="19">
        <f t="shared" si="26"/>
        <v>192.03799161497997</v>
      </c>
      <c r="N89" s="19">
        <f t="shared" si="36"/>
        <v>25.827339219620264</v>
      </c>
      <c r="O89" s="19">
        <f t="shared" si="37"/>
        <v>0.75239506811314338</v>
      </c>
      <c r="P89" s="19">
        <f t="shared" si="27"/>
        <v>191.68380493188687</v>
      </c>
      <c r="R89" s="19">
        <f t="shared" si="38"/>
        <v>34.277559266308117</v>
      </c>
      <c r="S89" s="19">
        <f t="shared" si="39"/>
        <v>1.2660333151567806</v>
      </c>
      <c r="T89" s="19">
        <f t="shared" si="28"/>
        <v>191.17016668484322</v>
      </c>
      <c r="V89" s="19">
        <f t="shared" si="40"/>
        <v>40.858850645439283</v>
      </c>
      <c r="W89" s="19">
        <f t="shared" si="41"/>
        <v>1.8195197272334076</v>
      </c>
      <c r="X89" s="19">
        <f t="shared" si="29"/>
        <v>190.61668027276662</v>
      </c>
      <c r="Z89" s="19">
        <f t="shared" si="42"/>
        <v>120.9447652573192</v>
      </c>
      <c r="AA89" s="19">
        <f t="shared" si="43"/>
        <v>29.463684846836468</v>
      </c>
      <c r="AB89" s="19">
        <f t="shared" si="30"/>
        <v>162.97251515316356</v>
      </c>
    </row>
    <row r="90" spans="2:28" x14ac:dyDescent="0.3">
      <c r="B90" s="10">
        <v>2518.27</v>
      </c>
      <c r="C90" s="10">
        <v>216.727</v>
      </c>
      <c r="D90" s="10">
        <f t="shared" si="31"/>
        <v>195.05430000000001</v>
      </c>
      <c r="E90" s="4"/>
      <c r="F90" s="19">
        <f t="shared" si="32"/>
        <v>26.41661430761787</v>
      </c>
      <c r="G90" s="19">
        <f t="shared" si="33"/>
        <v>0.78205610206652076</v>
      </c>
      <c r="H90" s="19">
        <f t="shared" si="25"/>
        <v>194.27224389793349</v>
      </c>
      <c r="J90" s="19">
        <f t="shared" si="34"/>
        <v>17.320634015413116</v>
      </c>
      <c r="K90" s="19">
        <f t="shared" si="35"/>
        <v>0.40690787074202567</v>
      </c>
      <c r="L90" s="19">
        <f t="shared" si="26"/>
        <v>194.64739212925798</v>
      </c>
      <c r="N90" s="19">
        <f t="shared" si="36"/>
        <v>26.232768078969542</v>
      </c>
      <c r="O90" s="19">
        <f t="shared" si="37"/>
        <v>0.77271237594750419</v>
      </c>
      <c r="P90" s="19">
        <f t="shared" si="27"/>
        <v>194.28158762405252</v>
      </c>
      <c r="R90" s="19">
        <f t="shared" si="38"/>
        <v>34.815636829639118</v>
      </c>
      <c r="S90" s="19">
        <f t="shared" si="39"/>
        <v>1.3057927263649189</v>
      </c>
      <c r="T90" s="19">
        <f t="shared" si="28"/>
        <v>193.74850727363508</v>
      </c>
      <c r="V90" s="19">
        <f t="shared" si="40"/>
        <v>41.500239100929839</v>
      </c>
      <c r="W90" s="19">
        <f t="shared" si="41"/>
        <v>1.8817616561568984</v>
      </c>
      <c r="X90" s="19">
        <f t="shared" si="29"/>
        <v>193.17253834384312</v>
      </c>
      <c r="Z90" s="19">
        <f t="shared" si="42"/>
        <v>122.84331538691563</v>
      </c>
      <c r="AA90" s="19">
        <f t="shared" si="43"/>
        <v>30.799712685889578</v>
      </c>
      <c r="AB90" s="19">
        <f t="shared" si="30"/>
        <v>164.25458731411044</v>
      </c>
    </row>
    <row r="91" spans="2:28" x14ac:dyDescent="0.3">
      <c r="B91" s="10">
        <v>2551.63</v>
      </c>
      <c r="C91" s="10">
        <v>220.364</v>
      </c>
      <c r="D91" s="10">
        <f t="shared" si="31"/>
        <v>198.32760000000002</v>
      </c>
      <c r="E91" s="4"/>
      <c r="F91" s="19">
        <f t="shared" si="32"/>
        <v>26.766560204325582</v>
      </c>
      <c r="G91" s="19">
        <f t="shared" si="33"/>
        <v>0.80006952167750001</v>
      </c>
      <c r="H91" s="19">
        <f t="shared" si="25"/>
        <v>197.52753047832252</v>
      </c>
      <c r="J91" s="19">
        <f t="shared" si="34"/>
        <v>17.550083737148348</v>
      </c>
      <c r="K91" s="19">
        <f t="shared" si="35"/>
        <v>0.41445556782434195</v>
      </c>
      <c r="L91" s="19">
        <f t="shared" si="26"/>
        <v>197.91314443217567</v>
      </c>
      <c r="N91" s="19">
        <f t="shared" si="36"/>
        <v>26.580278529840346</v>
      </c>
      <c r="O91" s="19">
        <f t="shared" si="37"/>
        <v>0.7904433361301294</v>
      </c>
      <c r="P91" s="19">
        <f t="shared" si="27"/>
        <v>197.53715666386989</v>
      </c>
      <c r="R91" s="19">
        <f t="shared" si="38"/>
        <v>35.276846169637118</v>
      </c>
      <c r="S91" s="19">
        <f t="shared" si="39"/>
        <v>1.3406112300792441</v>
      </c>
      <c r="T91" s="19">
        <f t="shared" si="28"/>
        <v>196.98698876992077</v>
      </c>
      <c r="V91" s="19">
        <f t="shared" si="40"/>
        <v>42.05000063420745</v>
      </c>
      <c r="W91" s="19">
        <f t="shared" si="41"/>
        <v>1.9363635172107732</v>
      </c>
      <c r="X91" s="19">
        <f t="shared" si="29"/>
        <v>196.39123648278925</v>
      </c>
      <c r="Z91" s="19">
        <f t="shared" si="42"/>
        <v>124.47064406942685</v>
      </c>
      <c r="AA91" s="19">
        <f t="shared" si="43"/>
        <v>31.977341827692289</v>
      </c>
      <c r="AB91" s="19">
        <f t="shared" si="30"/>
        <v>166.35025817230772</v>
      </c>
    </row>
    <row r="92" spans="2:28" x14ac:dyDescent="0.3">
      <c r="B92" s="10">
        <v>2590.5500000000002</v>
      </c>
      <c r="C92" s="10">
        <v>223.273</v>
      </c>
      <c r="D92" s="10">
        <f t="shared" si="31"/>
        <v>200.94569999999999</v>
      </c>
      <c r="E92" s="4"/>
      <c r="F92" s="19">
        <f t="shared" si="32"/>
        <v>27.174830417151245</v>
      </c>
      <c r="G92" s="19">
        <f t="shared" si="33"/>
        <v>0.82146734655134845</v>
      </c>
      <c r="H92" s="19">
        <f t="shared" si="25"/>
        <v>200.12423265344864</v>
      </c>
      <c r="J92" s="19">
        <f t="shared" si="34"/>
        <v>17.817775079172787</v>
      </c>
      <c r="K92" s="19">
        <f t="shared" si="35"/>
        <v>0.42336893903772732</v>
      </c>
      <c r="L92" s="19">
        <f t="shared" si="26"/>
        <v>200.52233106096227</v>
      </c>
      <c r="N92" s="19">
        <f t="shared" si="36"/>
        <v>26.985707389189624</v>
      </c>
      <c r="O92" s="19">
        <f t="shared" si="37"/>
        <v>0.81150370130612626</v>
      </c>
      <c r="P92" s="19">
        <f t="shared" si="27"/>
        <v>200.13419629869387</v>
      </c>
      <c r="R92" s="19">
        <f t="shared" si="38"/>
        <v>35.814923732968118</v>
      </c>
      <c r="S92" s="19">
        <f t="shared" si="39"/>
        <v>1.3821076940120873</v>
      </c>
      <c r="T92" s="19">
        <f t="shared" si="28"/>
        <v>199.5635923059879</v>
      </c>
      <c r="V92" s="19">
        <f t="shared" si="40"/>
        <v>42.691389089697999</v>
      </c>
      <c r="W92" s="19">
        <f t="shared" si="41"/>
        <v>2.0015474400279647</v>
      </c>
      <c r="X92" s="19">
        <f t="shared" si="29"/>
        <v>198.94415255997203</v>
      </c>
      <c r="Z92" s="19">
        <f t="shared" si="42"/>
        <v>126.36919419902326</v>
      </c>
      <c r="AA92" s="19">
        <f t="shared" si="43"/>
        <v>33.389673183974679</v>
      </c>
      <c r="AB92" s="19">
        <f t="shared" si="30"/>
        <v>167.55602681602531</v>
      </c>
    </row>
    <row r="93" spans="2:28" x14ac:dyDescent="0.3">
      <c r="B93" s="10">
        <v>2623.91</v>
      </c>
      <c r="C93" s="10">
        <v>226.18199999999999</v>
      </c>
      <c r="D93" s="10">
        <f t="shared" si="31"/>
        <v>203.56379999999999</v>
      </c>
      <c r="E93" s="4"/>
      <c r="F93" s="19">
        <f t="shared" si="32"/>
        <v>27.524776313858958</v>
      </c>
      <c r="G93" s="19">
        <f t="shared" si="33"/>
        <v>0.84014042977436132</v>
      </c>
      <c r="H93" s="19">
        <f t="shared" si="25"/>
        <v>202.72365957022564</v>
      </c>
      <c r="J93" s="19">
        <f t="shared" si="34"/>
        <v>18.047224800908015</v>
      </c>
      <c r="K93" s="19">
        <f t="shared" si="35"/>
        <v>0.43110258022648201</v>
      </c>
      <c r="L93" s="19">
        <f t="shared" si="26"/>
        <v>203.13269741977351</v>
      </c>
      <c r="N93" s="19">
        <f t="shared" si="36"/>
        <v>27.333217840060424</v>
      </c>
      <c r="O93" s="19">
        <f t="shared" si="37"/>
        <v>0.82988064795808381</v>
      </c>
      <c r="P93" s="19">
        <f t="shared" si="27"/>
        <v>202.73391935204191</v>
      </c>
      <c r="R93" s="19">
        <f t="shared" si="38"/>
        <v>36.276133072966111</v>
      </c>
      <c r="S93" s="19">
        <f t="shared" si="39"/>
        <v>1.4184363268830744</v>
      </c>
      <c r="T93" s="19">
        <f t="shared" si="28"/>
        <v>202.14536367311692</v>
      </c>
      <c r="V93" s="19">
        <f t="shared" si="40"/>
        <v>43.24115062297561</v>
      </c>
      <c r="W93" s="19">
        <f t="shared" si="41"/>
        <v>2.0587069613614686</v>
      </c>
      <c r="X93" s="19">
        <f t="shared" si="29"/>
        <v>201.50509303863851</v>
      </c>
      <c r="Z93" s="19">
        <f t="shared" si="42"/>
        <v>127.99652288153445</v>
      </c>
      <c r="AA93" s="19">
        <f t="shared" si="43"/>
        <v>34.633637771147008</v>
      </c>
      <c r="AB93" s="19">
        <f t="shared" si="30"/>
        <v>168.93016222885296</v>
      </c>
    </row>
    <row r="94" spans="2:28" x14ac:dyDescent="0.3">
      <c r="B94" s="10">
        <v>2662.83</v>
      </c>
      <c r="C94" s="10">
        <v>229.81800000000001</v>
      </c>
      <c r="D94" s="10">
        <f t="shared" si="31"/>
        <v>206.83620000000002</v>
      </c>
      <c r="E94" s="4"/>
      <c r="F94" s="19">
        <f t="shared" si="32"/>
        <v>27.933046526684628</v>
      </c>
      <c r="G94" s="19">
        <f t="shared" si="33"/>
        <v>0.86231868002644918</v>
      </c>
      <c r="H94" s="19">
        <f t="shared" si="25"/>
        <v>205.97388131997357</v>
      </c>
      <c r="J94" s="19">
        <f t="shared" si="34"/>
        <v>18.314916142932454</v>
      </c>
      <c r="K94" s="19">
        <f t="shared" si="35"/>
        <v>0.44023593553016943</v>
      </c>
      <c r="L94" s="19">
        <f t="shared" si="26"/>
        <v>206.39596406446984</v>
      </c>
      <c r="N94" s="19">
        <f t="shared" si="36"/>
        <v>27.738646699409699</v>
      </c>
      <c r="O94" s="19">
        <f t="shared" si="37"/>
        <v>0.85170525755422077</v>
      </c>
      <c r="P94" s="19">
        <f t="shared" si="27"/>
        <v>205.9844947424458</v>
      </c>
      <c r="R94" s="19">
        <f t="shared" si="38"/>
        <v>36.814210636297112</v>
      </c>
      <c r="S94" s="19">
        <f t="shared" si="39"/>
        <v>1.4617193727900923</v>
      </c>
      <c r="T94" s="19">
        <f t="shared" si="28"/>
        <v>205.37448062720992</v>
      </c>
      <c r="V94" s="19">
        <f t="shared" si="40"/>
        <v>43.882539078466166</v>
      </c>
      <c r="W94" s="19">
        <f t="shared" si="41"/>
        <v>2.1269167642707636</v>
      </c>
      <c r="X94" s="19">
        <f t="shared" si="29"/>
        <v>204.70928323572926</v>
      </c>
      <c r="Z94" s="19">
        <f t="shared" si="42"/>
        <v>129.89507301113088</v>
      </c>
      <c r="AA94" s="19">
        <f t="shared" si="43"/>
        <v>36.124448316062626</v>
      </c>
      <c r="AB94" s="19">
        <f t="shared" si="30"/>
        <v>170.71175168393739</v>
      </c>
    </row>
    <row r="95" spans="2:28" x14ac:dyDescent="0.3">
      <c r="B95" s="10">
        <v>2701.75</v>
      </c>
      <c r="C95" s="10">
        <v>233.45500000000001</v>
      </c>
      <c r="D95" s="10">
        <f t="shared" si="31"/>
        <v>210.10950000000003</v>
      </c>
      <c r="E95" s="4"/>
      <c r="F95" s="19">
        <f t="shared" si="32"/>
        <v>28.34131673951029</v>
      </c>
      <c r="G95" s="19">
        <f t="shared" si="33"/>
        <v>0.88492612084505184</v>
      </c>
      <c r="H95" s="19">
        <f t="shared" si="25"/>
        <v>209.22457387915497</v>
      </c>
      <c r="J95" s="19">
        <f t="shared" si="34"/>
        <v>18.582607484956895</v>
      </c>
      <c r="K95" s="19">
        <f t="shared" si="35"/>
        <v>0.44949026985244556</v>
      </c>
      <c r="L95" s="19">
        <f t="shared" si="26"/>
        <v>209.66000973014758</v>
      </c>
      <c r="N95" s="19">
        <f t="shared" si="36"/>
        <v>28.144075558758974</v>
      </c>
      <c r="O95" s="19">
        <f t="shared" si="37"/>
        <v>0.87395015908957674</v>
      </c>
      <c r="P95" s="19">
        <f t="shared" si="27"/>
        <v>209.23554984091044</v>
      </c>
      <c r="R95" s="19">
        <f t="shared" si="38"/>
        <v>37.35228819962812</v>
      </c>
      <c r="S95" s="19">
        <f t="shared" si="39"/>
        <v>1.5059849394492555</v>
      </c>
      <c r="T95" s="19">
        <f t="shared" si="28"/>
        <v>208.60351506055076</v>
      </c>
      <c r="V95" s="19">
        <f t="shared" si="40"/>
        <v>44.523927533956716</v>
      </c>
      <c r="W95" s="19">
        <f t="shared" si="41"/>
        <v>2.1967906329923022</v>
      </c>
      <c r="X95" s="19">
        <f t="shared" si="29"/>
        <v>207.91270936700772</v>
      </c>
      <c r="Z95" s="19">
        <f t="shared" si="42"/>
        <v>131.79362314072728</v>
      </c>
      <c r="AA95" s="19">
        <f t="shared" si="43"/>
        <v>37.658418051297119</v>
      </c>
      <c r="AB95" s="19">
        <f t="shared" si="30"/>
        <v>172.45108194870289</v>
      </c>
    </row>
    <row r="96" spans="2:28" x14ac:dyDescent="0.3">
      <c r="B96" s="10">
        <v>2751.79</v>
      </c>
      <c r="C96" s="10">
        <v>237.09100000000001</v>
      </c>
      <c r="D96" s="10">
        <f t="shared" si="31"/>
        <v>213.3819</v>
      </c>
      <c r="E96" s="4"/>
      <c r="F96" s="19">
        <f t="shared" si="32"/>
        <v>28.866235584571861</v>
      </c>
      <c r="G96" s="19">
        <f t="shared" si="33"/>
        <v>0.91463357325489991</v>
      </c>
      <c r="H96" s="19">
        <f t="shared" si="25"/>
        <v>212.46726642674511</v>
      </c>
      <c r="J96" s="19">
        <f t="shared" si="34"/>
        <v>18.926782067559738</v>
      </c>
      <c r="K96" s="19">
        <f t="shared" si="35"/>
        <v>0.46156931045305682</v>
      </c>
      <c r="L96" s="19">
        <f t="shared" si="26"/>
        <v>212.92033068954694</v>
      </c>
      <c r="N96" s="19">
        <f t="shared" si="36"/>
        <v>28.665341235065178</v>
      </c>
      <c r="O96" s="19">
        <f t="shared" si="37"/>
        <v>0.90317820471627497</v>
      </c>
      <c r="P96" s="19">
        <f t="shared" si="27"/>
        <v>212.47872179528372</v>
      </c>
      <c r="R96" s="19">
        <f t="shared" si="38"/>
        <v>38.044102209625116</v>
      </c>
      <c r="S96" s="19">
        <f t="shared" si="39"/>
        <v>1.5643646256891028</v>
      </c>
      <c r="T96" s="19">
        <f t="shared" si="28"/>
        <v>211.81753537431089</v>
      </c>
      <c r="V96" s="19">
        <f t="shared" si="40"/>
        <v>45.348569833873142</v>
      </c>
      <c r="W96" s="19">
        <f t="shared" si="41"/>
        <v>2.2891127642991793</v>
      </c>
      <c r="X96" s="19">
        <f t="shared" si="29"/>
        <v>211.09278723570083</v>
      </c>
      <c r="Z96" s="19">
        <f t="shared" si="42"/>
        <v>134.23461616449413</v>
      </c>
      <c r="AA96" s="19">
        <f t="shared" si="43"/>
        <v>39.695097630230485</v>
      </c>
      <c r="AB96" s="19">
        <f t="shared" si="30"/>
        <v>173.68680236976951</v>
      </c>
    </row>
    <row r="97" spans="2:28" x14ac:dyDescent="0.3">
      <c r="B97" s="10">
        <v>2796.27</v>
      </c>
      <c r="C97" s="10">
        <v>240.727</v>
      </c>
      <c r="D97" s="10">
        <f t="shared" si="31"/>
        <v>216.65430000000001</v>
      </c>
      <c r="E97" s="4"/>
      <c r="F97" s="19">
        <f t="shared" si="32"/>
        <v>29.332830113515477</v>
      </c>
      <c r="G97" s="19">
        <f t="shared" si="33"/>
        <v>0.94165529269611004</v>
      </c>
      <c r="H97" s="19">
        <f t="shared" si="25"/>
        <v>215.71264470730389</v>
      </c>
      <c r="J97" s="19">
        <f t="shared" si="34"/>
        <v>19.232715029873379</v>
      </c>
      <c r="K97" s="19">
        <f t="shared" si="35"/>
        <v>0.4724796166856457</v>
      </c>
      <c r="L97" s="19">
        <f t="shared" si="26"/>
        <v>216.18182038331437</v>
      </c>
      <c r="N97" s="19">
        <f t="shared" si="36"/>
        <v>29.128688502892921</v>
      </c>
      <c r="O97" s="19">
        <f t="shared" si="37"/>
        <v>0.92976103171419433</v>
      </c>
      <c r="P97" s="19">
        <f t="shared" si="27"/>
        <v>215.7245389682858</v>
      </c>
      <c r="R97" s="19">
        <f t="shared" si="38"/>
        <v>38.659047996289111</v>
      </c>
      <c r="S97" s="19">
        <f t="shared" si="39"/>
        <v>1.6176657811517774</v>
      </c>
      <c r="T97" s="19">
        <f t="shared" si="28"/>
        <v>215.03663421884823</v>
      </c>
      <c r="V97" s="19">
        <f t="shared" si="40"/>
        <v>46.081585211576623</v>
      </c>
      <c r="W97" s="19">
        <f t="shared" si="41"/>
        <v>2.3735617393255275</v>
      </c>
      <c r="X97" s="19">
        <f t="shared" si="29"/>
        <v>214.28073826067447</v>
      </c>
      <c r="Z97" s="19">
        <f t="shared" si="42"/>
        <v>136.4043877411757</v>
      </c>
      <c r="AA97" s="19">
        <f t="shared" si="43"/>
        <v>41.567333133771648</v>
      </c>
      <c r="AB97" s="19">
        <f t="shared" si="30"/>
        <v>175.08696686622835</v>
      </c>
    </row>
    <row r="98" spans="2:28" x14ac:dyDescent="0.3">
      <c r="B98" s="10">
        <v>2835.19</v>
      </c>
      <c r="C98" s="10">
        <v>244.364</v>
      </c>
      <c r="D98" s="10">
        <f t="shared" si="31"/>
        <v>219.92760000000001</v>
      </c>
      <c r="E98" s="4"/>
      <c r="F98" s="19">
        <f t="shared" si="32"/>
        <v>29.741100326341147</v>
      </c>
      <c r="G98" s="19">
        <f t="shared" si="33"/>
        <v>0.96578186808862387</v>
      </c>
      <c r="H98" s="19">
        <f t="shared" si="25"/>
        <v>218.9618181319114</v>
      </c>
      <c r="J98" s="19">
        <f t="shared" si="34"/>
        <v>19.500406371897821</v>
      </c>
      <c r="K98" s="19">
        <f t="shared" si="35"/>
        <v>0.4821621603493994</v>
      </c>
      <c r="L98" s="19">
        <f t="shared" si="26"/>
        <v>219.44543783965062</v>
      </c>
      <c r="N98" s="19">
        <f t="shared" si="36"/>
        <v>29.534117362242196</v>
      </c>
      <c r="O98" s="19">
        <f t="shared" si="37"/>
        <v>0.95349357083019015</v>
      </c>
      <c r="P98" s="19">
        <f t="shared" si="27"/>
        <v>218.97410642916981</v>
      </c>
      <c r="R98" s="19">
        <f t="shared" si="38"/>
        <v>39.197125559620105</v>
      </c>
      <c r="S98" s="19">
        <f t="shared" si="39"/>
        <v>1.6654090133530555</v>
      </c>
      <c r="T98" s="19">
        <f t="shared" si="28"/>
        <v>218.26219098664697</v>
      </c>
      <c r="V98" s="19">
        <f t="shared" si="40"/>
        <v>46.72297366706718</v>
      </c>
      <c r="W98" s="19">
        <f t="shared" si="41"/>
        <v>2.4493256254562814</v>
      </c>
      <c r="X98" s="19">
        <f t="shared" si="29"/>
        <v>217.47827437454373</v>
      </c>
      <c r="Z98" s="19">
        <f t="shared" si="42"/>
        <v>138.30293787077213</v>
      </c>
      <c r="AA98" s="19">
        <f t="shared" si="43"/>
        <v>43.254066287661487</v>
      </c>
      <c r="AB98" s="19">
        <f t="shared" si="30"/>
        <v>176.67353371233852</v>
      </c>
    </row>
    <row r="99" spans="2:28" x14ac:dyDescent="0.3">
      <c r="B99" s="10">
        <v>2868.55</v>
      </c>
      <c r="C99" s="10">
        <v>247.273</v>
      </c>
      <c r="D99" s="10">
        <f t="shared" si="31"/>
        <v>222.54570000000001</v>
      </c>
      <c r="E99" s="4"/>
      <c r="F99" s="19">
        <f t="shared" si="32"/>
        <v>30.091046223048853</v>
      </c>
      <c r="G99" s="19">
        <f t="shared" si="33"/>
        <v>0.98682526392487335</v>
      </c>
      <c r="H99" s="19">
        <f t="shared" si="25"/>
        <v>221.55887473607513</v>
      </c>
      <c r="J99" s="19">
        <f t="shared" si="34"/>
        <v>19.72985609363305</v>
      </c>
      <c r="K99" s="19">
        <f t="shared" si="35"/>
        <v>0.49056393852920255</v>
      </c>
      <c r="L99" s="19">
        <f t="shared" si="26"/>
        <v>222.05513606147082</v>
      </c>
      <c r="N99" s="19">
        <f t="shared" si="36"/>
        <v>29.881627813113003</v>
      </c>
      <c r="O99" s="19">
        <f t="shared" si="37"/>
        <v>0.97419168519294375</v>
      </c>
      <c r="P99" s="19">
        <f t="shared" si="27"/>
        <v>221.57150831480706</v>
      </c>
      <c r="R99" s="19">
        <f t="shared" si="38"/>
        <v>39.658334899618112</v>
      </c>
      <c r="S99" s="19">
        <f t="shared" si="39"/>
        <v>1.7071638636511632</v>
      </c>
      <c r="T99" s="19">
        <f t="shared" si="28"/>
        <v>220.83853613634884</v>
      </c>
      <c r="V99" s="19">
        <f t="shared" si="40"/>
        <v>47.27273520034479</v>
      </c>
      <c r="W99" s="19">
        <f t="shared" si="41"/>
        <v>2.5156753678518378</v>
      </c>
      <c r="X99" s="19">
        <f t="shared" si="29"/>
        <v>220.03002463214818</v>
      </c>
      <c r="Z99" s="19">
        <f t="shared" si="42"/>
        <v>139.93026655328333</v>
      </c>
      <c r="AA99" s="19">
        <f t="shared" si="43"/>
        <v>44.736388334599717</v>
      </c>
      <c r="AB99" s="19">
        <f t="shared" si="30"/>
        <v>177.80931166540029</v>
      </c>
    </row>
    <row r="100" spans="2:28" x14ac:dyDescent="0.3">
      <c r="B100" s="10">
        <v>2890.79</v>
      </c>
      <c r="C100" s="10">
        <v>249.45500000000001</v>
      </c>
      <c r="D100" s="10">
        <f t="shared" si="31"/>
        <v>224.5095</v>
      </c>
      <c r="E100" s="4"/>
      <c r="F100" s="19">
        <f t="shared" si="32"/>
        <v>30.324343487520661</v>
      </c>
      <c r="G100" s="19">
        <f t="shared" si="33"/>
        <v>1.0010426641737349</v>
      </c>
      <c r="H100" s="19">
        <f t="shared" si="25"/>
        <v>223.50845733582628</v>
      </c>
      <c r="J100" s="19">
        <f t="shared" si="34"/>
        <v>19.882822574789866</v>
      </c>
      <c r="K100" s="19">
        <f t="shared" si="35"/>
        <v>0.49621824928401553</v>
      </c>
      <c r="L100" s="19">
        <f t="shared" si="26"/>
        <v>224.01328175071598</v>
      </c>
      <c r="N100" s="19">
        <f t="shared" si="36"/>
        <v>30.113301447026871</v>
      </c>
      <c r="O100" s="19">
        <f t="shared" si="37"/>
        <v>0.98817499015440458</v>
      </c>
      <c r="P100" s="19">
        <f t="shared" si="27"/>
        <v>223.52132500984561</v>
      </c>
      <c r="R100" s="19">
        <f t="shared" si="38"/>
        <v>39.965807792950102</v>
      </c>
      <c r="S100" s="19">
        <f t="shared" si="39"/>
        <v>1.7354318831097986</v>
      </c>
      <c r="T100" s="19">
        <f t="shared" si="28"/>
        <v>222.77406811689019</v>
      </c>
      <c r="V100" s="19">
        <f t="shared" si="40"/>
        <v>47.639242889196531</v>
      </c>
      <c r="W100" s="19">
        <f t="shared" si="41"/>
        <v>2.5606392677141332</v>
      </c>
      <c r="X100" s="19">
        <f t="shared" si="29"/>
        <v>221.94886073228588</v>
      </c>
      <c r="Z100" s="19">
        <f t="shared" si="42"/>
        <v>141.01515234162414</v>
      </c>
      <c r="AA100" s="19">
        <f t="shared" si="43"/>
        <v>45.743555451165669</v>
      </c>
      <c r="AB100" s="19">
        <f t="shared" si="30"/>
        <v>178.76594454883434</v>
      </c>
    </row>
    <row r="101" spans="2:28" x14ac:dyDescent="0.3">
      <c r="B101" s="10">
        <v>2924.15</v>
      </c>
      <c r="C101" s="10">
        <v>252.364</v>
      </c>
      <c r="D101" s="10">
        <f t="shared" si="31"/>
        <v>227.1276</v>
      </c>
      <c r="E101" s="4"/>
      <c r="F101" s="19">
        <f t="shared" si="32"/>
        <v>30.674289384228373</v>
      </c>
      <c r="G101" s="19">
        <f t="shared" si="33"/>
        <v>1.0226543952936031</v>
      </c>
      <c r="H101" s="19">
        <f t="shared" si="25"/>
        <v>226.10494560470639</v>
      </c>
      <c r="J101" s="19">
        <f t="shared" si="34"/>
        <v>20.112272296525102</v>
      </c>
      <c r="K101" s="19">
        <f t="shared" si="35"/>
        <v>0.50478022820028823</v>
      </c>
      <c r="L101" s="19">
        <f t="shared" si="26"/>
        <v>226.62281977179973</v>
      </c>
      <c r="N101" s="19">
        <f t="shared" si="36"/>
        <v>30.460811897897678</v>
      </c>
      <c r="O101" s="19">
        <f t="shared" si="37"/>
        <v>1.0094296562149698</v>
      </c>
      <c r="P101" s="19">
        <f t="shared" si="27"/>
        <v>226.11817034378504</v>
      </c>
      <c r="R101" s="19">
        <f t="shared" si="38"/>
        <v>40.427017132948109</v>
      </c>
      <c r="S101" s="19">
        <f t="shared" si="39"/>
        <v>1.7784877899871918</v>
      </c>
      <c r="T101" s="19">
        <f t="shared" si="28"/>
        <v>225.34911221001281</v>
      </c>
      <c r="V101" s="19">
        <f t="shared" si="40"/>
        <v>48.189004422474149</v>
      </c>
      <c r="W101" s="19">
        <f t="shared" si="41"/>
        <v>2.6291925704606109</v>
      </c>
      <c r="X101" s="19">
        <f t="shared" si="29"/>
        <v>224.49840742953938</v>
      </c>
      <c r="Z101" s="19">
        <f t="shared" si="42"/>
        <v>142.64248102413538</v>
      </c>
      <c r="AA101" s="19">
        <f t="shared" si="43"/>
        <v>47.283029012103356</v>
      </c>
      <c r="AB101" s="19">
        <f t="shared" si="30"/>
        <v>179.84457098789665</v>
      </c>
    </row>
    <row r="102" spans="2:28" x14ac:dyDescent="0.3">
      <c r="B102" s="10">
        <v>2963.07</v>
      </c>
      <c r="C102" s="10">
        <v>255.273</v>
      </c>
      <c r="D102" s="10">
        <f t="shared" si="31"/>
        <v>229.7457</v>
      </c>
      <c r="E102" s="4"/>
      <c r="F102" s="19">
        <f t="shared" si="32"/>
        <v>31.08255959705404</v>
      </c>
      <c r="G102" s="19">
        <f t="shared" si="33"/>
        <v>1.0483060036971585</v>
      </c>
      <c r="H102" s="19">
        <f t="shared" si="25"/>
        <v>228.69739399630285</v>
      </c>
      <c r="J102" s="19">
        <f t="shared" si="34"/>
        <v>20.37996363854954</v>
      </c>
      <c r="K102" s="19">
        <f t="shared" si="35"/>
        <v>0.51489264384023492</v>
      </c>
      <c r="L102" s="19">
        <f t="shared" si="26"/>
        <v>229.23080735615977</v>
      </c>
      <c r="N102" s="19">
        <f t="shared" si="36"/>
        <v>30.866240757246949</v>
      </c>
      <c r="O102" s="19">
        <f t="shared" si="37"/>
        <v>1.0346556090534254</v>
      </c>
      <c r="P102" s="19">
        <f t="shared" si="27"/>
        <v>228.71104439094657</v>
      </c>
      <c r="R102" s="19">
        <f t="shared" si="38"/>
        <v>40.96509469627911</v>
      </c>
      <c r="S102" s="19">
        <f t="shared" si="39"/>
        <v>1.8297221906762202</v>
      </c>
      <c r="T102" s="19">
        <f t="shared" si="28"/>
        <v>227.91597780932378</v>
      </c>
      <c r="V102" s="19">
        <f t="shared" si="40"/>
        <v>48.830392877964698</v>
      </c>
      <c r="W102" s="19">
        <f t="shared" si="41"/>
        <v>2.7108693435330018</v>
      </c>
      <c r="X102" s="19">
        <f t="shared" si="29"/>
        <v>227.03483065646699</v>
      </c>
      <c r="Z102" s="19">
        <f t="shared" si="42"/>
        <v>144.54103115373178</v>
      </c>
      <c r="AA102" s="19">
        <f t="shared" si="43"/>
        <v>49.123118728558438</v>
      </c>
      <c r="AB102" s="19">
        <f t="shared" si="30"/>
        <v>180.62258127144156</v>
      </c>
    </row>
    <row r="103" spans="2:28" x14ac:dyDescent="0.3">
      <c r="B103" s="10">
        <v>3013.11</v>
      </c>
      <c r="C103" s="10">
        <v>258.90899999999999</v>
      </c>
      <c r="D103" s="10">
        <f t="shared" si="31"/>
        <v>233.0181</v>
      </c>
      <c r="E103" s="4"/>
      <c r="F103" s="19">
        <f t="shared" si="32"/>
        <v>31.60747844211561</v>
      </c>
      <c r="G103" s="19">
        <f t="shared" si="33"/>
        <v>1.0819892751907061</v>
      </c>
      <c r="H103" s="19">
        <f t="shared" si="25"/>
        <v>231.93611072480931</v>
      </c>
      <c r="J103" s="19">
        <f t="shared" si="34"/>
        <v>20.724138221152387</v>
      </c>
      <c r="K103" s="19">
        <f t="shared" si="35"/>
        <v>0.52809237703839718</v>
      </c>
      <c r="L103" s="19">
        <f t="shared" si="26"/>
        <v>232.4900076229616</v>
      </c>
      <c r="N103" s="19">
        <f t="shared" si="36"/>
        <v>31.387506433553167</v>
      </c>
      <c r="O103" s="19">
        <f t="shared" si="37"/>
        <v>1.0677770410754515</v>
      </c>
      <c r="P103" s="19">
        <f t="shared" si="27"/>
        <v>231.95032295892454</v>
      </c>
      <c r="R103" s="19">
        <f t="shared" si="38"/>
        <v>41.656908706276106</v>
      </c>
      <c r="S103" s="19">
        <f t="shared" si="39"/>
        <v>1.8972034859943656</v>
      </c>
      <c r="T103" s="19">
        <f t="shared" si="28"/>
        <v>231.12089651400564</v>
      </c>
      <c r="V103" s="19">
        <f t="shared" si="40"/>
        <v>49.655035177881125</v>
      </c>
      <c r="W103" s="19">
        <f t="shared" si="41"/>
        <v>2.8186065960681406</v>
      </c>
      <c r="X103" s="19">
        <f t="shared" si="29"/>
        <v>230.19949340393185</v>
      </c>
      <c r="Z103" s="19">
        <f t="shared" si="42"/>
        <v>146.9820241774986</v>
      </c>
      <c r="AA103" s="19">
        <f t="shared" si="43"/>
        <v>51.559604700955283</v>
      </c>
      <c r="AB103" s="19">
        <f t="shared" si="30"/>
        <v>181.45849529904473</v>
      </c>
    </row>
    <row r="104" spans="2:28" x14ac:dyDescent="0.3">
      <c r="B104" s="10">
        <v>3040.91</v>
      </c>
      <c r="C104" s="10">
        <v>262.54500000000002</v>
      </c>
      <c r="D104" s="10">
        <f t="shared" si="31"/>
        <v>236.29050000000001</v>
      </c>
      <c r="E104" s="4"/>
      <c r="F104" s="19">
        <f t="shared" si="32"/>
        <v>31.899100022705365</v>
      </c>
      <c r="G104" s="19">
        <f t="shared" si="33"/>
        <v>1.1010482418359426</v>
      </c>
      <c r="H104" s="19">
        <f t="shared" si="25"/>
        <v>235.18945175816407</v>
      </c>
      <c r="J104" s="19">
        <f t="shared" si="34"/>
        <v>20.915346322598413</v>
      </c>
      <c r="K104" s="19">
        <f t="shared" si="35"/>
        <v>0.53552310236829315</v>
      </c>
      <c r="L104" s="19">
        <f t="shared" si="26"/>
        <v>235.75497689763171</v>
      </c>
      <c r="N104" s="19">
        <f t="shared" si="36"/>
        <v>31.677098475945492</v>
      </c>
      <c r="O104" s="19">
        <f t="shared" si="37"/>
        <v>1.0865167000975207</v>
      </c>
      <c r="P104" s="19">
        <f t="shared" si="27"/>
        <v>235.20398329990249</v>
      </c>
      <c r="R104" s="19">
        <f t="shared" si="38"/>
        <v>42.041249822941104</v>
      </c>
      <c r="S104" s="19">
        <f t="shared" si="39"/>
        <v>1.9354852590569978</v>
      </c>
      <c r="T104" s="19">
        <f t="shared" si="28"/>
        <v>234.35501474094301</v>
      </c>
      <c r="V104" s="19">
        <f t="shared" si="40"/>
        <v>50.113169788945797</v>
      </c>
      <c r="W104" s="19">
        <f t="shared" si="41"/>
        <v>2.8798022905033234</v>
      </c>
      <c r="X104" s="19">
        <f t="shared" si="29"/>
        <v>233.41069770949667</v>
      </c>
      <c r="Z104" s="19">
        <f t="shared" si="42"/>
        <v>148.33813141292458</v>
      </c>
      <c r="AA104" s="19">
        <f t="shared" si="43"/>
        <v>52.94800543225265</v>
      </c>
      <c r="AB104" s="19">
        <f t="shared" si="30"/>
        <v>183.34249456774737</v>
      </c>
    </row>
    <row r="105" spans="2:28" x14ac:dyDescent="0.3">
      <c r="B105" s="10">
        <v>3085.39</v>
      </c>
      <c r="C105" s="10">
        <v>266.18200000000002</v>
      </c>
      <c r="D105" s="10">
        <f t="shared" si="31"/>
        <v>239.56380000000001</v>
      </c>
      <c r="E105" s="4"/>
      <c r="F105" s="19">
        <f t="shared" si="32"/>
        <v>32.365694551648986</v>
      </c>
      <c r="G105" s="19">
        <f t="shared" si="33"/>
        <v>1.1320636762570679</v>
      </c>
      <c r="H105" s="19">
        <f t="shared" si="25"/>
        <v>238.43173632374294</v>
      </c>
      <c r="J105" s="19">
        <f t="shared" si="34"/>
        <v>21.221279284912054</v>
      </c>
      <c r="K105" s="19">
        <f t="shared" si="35"/>
        <v>0.54755914564285879</v>
      </c>
      <c r="L105" s="19">
        <f t="shared" si="26"/>
        <v>239.01624085435716</v>
      </c>
      <c r="N105" s="19">
        <f t="shared" si="36"/>
        <v>32.140445743773235</v>
      </c>
      <c r="O105" s="19">
        <f t="shared" si="37"/>
        <v>1.1170104383422232</v>
      </c>
      <c r="P105" s="19">
        <f t="shared" si="27"/>
        <v>238.44678956165779</v>
      </c>
      <c r="R105" s="19">
        <f t="shared" si="38"/>
        <v>42.656195609605092</v>
      </c>
      <c r="S105" s="19">
        <f t="shared" si="39"/>
        <v>1.9979289916219247</v>
      </c>
      <c r="T105" s="19">
        <f t="shared" si="28"/>
        <v>237.56587100837808</v>
      </c>
      <c r="V105" s="19">
        <f t="shared" si="40"/>
        <v>50.846185166649292</v>
      </c>
      <c r="W105" s="19">
        <f t="shared" si="41"/>
        <v>2.9797357730664777</v>
      </c>
      <c r="X105" s="19">
        <f t="shared" si="29"/>
        <v>236.58406422693355</v>
      </c>
      <c r="Z105" s="19">
        <f t="shared" si="42"/>
        <v>150.50790298960621</v>
      </c>
      <c r="AA105" s="19">
        <f t="shared" si="43"/>
        <v>55.221846931697293</v>
      </c>
      <c r="AB105" s="19">
        <f t="shared" si="30"/>
        <v>184.34195306830273</v>
      </c>
    </row>
    <row r="106" spans="2:28" x14ac:dyDescent="0.3">
      <c r="B106" s="10">
        <v>3129.86</v>
      </c>
      <c r="C106" s="10">
        <v>269.81799999999998</v>
      </c>
      <c r="D106" s="10">
        <f t="shared" si="31"/>
        <v>242.83619999999999</v>
      </c>
      <c r="E106" s="4"/>
      <c r="F106" s="19">
        <f t="shared" si="32"/>
        <v>32.832184180743475</v>
      </c>
      <c r="G106" s="19">
        <f t="shared" si="33"/>
        <v>1.1637214502604123</v>
      </c>
      <c r="H106" s="19">
        <f t="shared" si="25"/>
        <v>241.67247854973957</v>
      </c>
      <c r="J106" s="19">
        <f t="shared" si="34"/>
        <v>21.527143467333087</v>
      </c>
      <c r="K106" s="19">
        <f t="shared" si="35"/>
        <v>0.55977550933022224</v>
      </c>
      <c r="L106" s="19">
        <f t="shared" si="26"/>
        <v>242.27642449066977</v>
      </c>
      <c r="N106" s="19">
        <f t="shared" si="36"/>
        <v>32.603688841801556</v>
      </c>
      <c r="O106" s="19">
        <f t="shared" si="37"/>
        <v>1.1481331709296314</v>
      </c>
      <c r="P106" s="19">
        <f t="shared" si="27"/>
        <v>241.68806682907035</v>
      </c>
      <c r="R106" s="19">
        <f t="shared" si="38"/>
        <v>43.271003144068864</v>
      </c>
      <c r="S106" s="19">
        <f t="shared" si="39"/>
        <v>2.0618451184883906</v>
      </c>
      <c r="T106" s="19">
        <f t="shared" si="28"/>
        <v>240.77435488151161</v>
      </c>
      <c r="V106" s="19">
        <f t="shared" si="40"/>
        <v>51.579035747730089</v>
      </c>
      <c r="W106" s="19">
        <f t="shared" si="41"/>
        <v>3.0821643152307074</v>
      </c>
      <c r="X106" s="19">
        <f t="shared" si="29"/>
        <v>239.75403568476929</v>
      </c>
      <c r="Z106" s="19">
        <f t="shared" si="42"/>
        <v>152.67718675792975</v>
      </c>
      <c r="AA106" s="19">
        <f t="shared" si="43"/>
        <v>57.560471766102395</v>
      </c>
      <c r="AB106" s="19">
        <f t="shared" si="30"/>
        <v>185.27572823389761</v>
      </c>
    </row>
    <row r="107" spans="2:28" x14ac:dyDescent="0.3">
      <c r="B107" s="10">
        <v>3168.78</v>
      </c>
      <c r="C107" s="10">
        <v>273.45499999999998</v>
      </c>
      <c r="D107" s="10">
        <f t="shared" si="31"/>
        <v>246.1095</v>
      </c>
      <c r="E107" s="4"/>
      <c r="F107" s="19">
        <f t="shared" si="32"/>
        <v>33.240454393569138</v>
      </c>
      <c r="G107" s="19">
        <f t="shared" si="33"/>
        <v>1.1919683462665298</v>
      </c>
      <c r="H107" s="19">
        <f t="shared" si="25"/>
        <v>244.91753165373348</v>
      </c>
      <c r="J107" s="19">
        <f t="shared" si="34"/>
        <v>21.794834809357528</v>
      </c>
      <c r="K107" s="19">
        <f t="shared" si="35"/>
        <v>0.57061947727259432</v>
      </c>
      <c r="L107" s="19">
        <f t="shared" si="26"/>
        <v>245.5388805227274</v>
      </c>
      <c r="N107" s="19">
        <f t="shared" si="36"/>
        <v>33.009117701150835</v>
      </c>
      <c r="O107" s="19">
        <f t="shared" si="37"/>
        <v>1.1759006019468112</v>
      </c>
      <c r="P107" s="19">
        <f t="shared" si="27"/>
        <v>244.93359939805319</v>
      </c>
      <c r="R107" s="19">
        <f t="shared" si="38"/>
        <v>43.809080707399858</v>
      </c>
      <c r="S107" s="19">
        <f t="shared" si="39"/>
        <v>2.1190207586319807</v>
      </c>
      <c r="T107" s="19">
        <f t="shared" si="28"/>
        <v>243.99047924136801</v>
      </c>
      <c r="V107" s="19">
        <f t="shared" si="40"/>
        <v>52.220424203220645</v>
      </c>
      <c r="W107" s="19">
        <f t="shared" si="41"/>
        <v>3.1739035866646867</v>
      </c>
      <c r="X107" s="19">
        <f t="shared" si="29"/>
        <v>242.9355964133353</v>
      </c>
      <c r="Z107" s="19">
        <f t="shared" si="42"/>
        <v>154.57573688752615</v>
      </c>
      <c r="AA107" s="19">
        <f t="shared" si="43"/>
        <v>59.66154231557249</v>
      </c>
      <c r="AB107" s="19">
        <f t="shared" si="30"/>
        <v>186.44795768442751</v>
      </c>
    </row>
    <row r="108" spans="2:28" x14ac:dyDescent="0.3">
      <c r="B108" s="10">
        <v>3207.7</v>
      </c>
      <c r="C108" s="10">
        <v>276.36399999999998</v>
      </c>
      <c r="D108" s="10">
        <f t="shared" si="31"/>
        <v>248.7276</v>
      </c>
      <c r="E108" s="4"/>
      <c r="F108" s="19">
        <f t="shared" si="32"/>
        <v>33.648724606394801</v>
      </c>
      <c r="G108" s="19">
        <f t="shared" si="33"/>
        <v>1.2207259810292939</v>
      </c>
      <c r="H108" s="19">
        <f t="shared" ref="H108:H139" si="44">$D108-G108</f>
        <v>247.50687401897071</v>
      </c>
      <c r="J108" s="19">
        <f t="shared" si="34"/>
        <v>22.062526151381963</v>
      </c>
      <c r="K108" s="19">
        <f t="shared" si="35"/>
        <v>0.58160741080590617</v>
      </c>
      <c r="L108" s="19">
        <f t="shared" ref="L108:L139" si="45">$D108-K108</f>
        <v>248.14599258919409</v>
      </c>
      <c r="N108" s="19">
        <f t="shared" si="36"/>
        <v>33.414546560500106</v>
      </c>
      <c r="O108" s="19">
        <f t="shared" si="37"/>
        <v>1.2041681823130512</v>
      </c>
      <c r="P108" s="19">
        <f t="shared" ref="P108:P139" si="46">$D108-O108</f>
        <v>247.52343181768694</v>
      </c>
      <c r="R108" s="19">
        <f t="shared" si="38"/>
        <v>44.347158270730858</v>
      </c>
      <c r="S108" s="19">
        <f t="shared" si="39"/>
        <v>2.1773656030090307</v>
      </c>
      <c r="T108" s="19">
        <f t="shared" ref="T108:T139" si="47">$D108-S108</f>
        <v>246.55023439699096</v>
      </c>
      <c r="V108" s="19">
        <f t="shared" si="40"/>
        <v>52.861812658711187</v>
      </c>
      <c r="W108" s="19">
        <f t="shared" si="41"/>
        <v>3.2676231041017996</v>
      </c>
      <c r="X108" s="19">
        <f t="shared" ref="X108:X139" si="48">$D108-W108</f>
        <v>245.45997689589819</v>
      </c>
      <c r="Z108" s="19">
        <f t="shared" si="42"/>
        <v>156.47428701712255</v>
      </c>
      <c r="AA108" s="19">
        <f t="shared" si="43"/>
        <v>61.813972500880659</v>
      </c>
      <c r="AB108" s="19">
        <f t="shared" ref="AB108:AB139" si="49">$D108-AA108</f>
        <v>186.91362749911934</v>
      </c>
    </row>
    <row r="109" spans="2:28" x14ac:dyDescent="0.3">
      <c r="B109" s="10">
        <v>3252.18</v>
      </c>
      <c r="C109" s="10">
        <v>280.72699999999998</v>
      </c>
      <c r="D109" s="10">
        <f t="shared" si="31"/>
        <v>252.65429999999998</v>
      </c>
      <c r="E109" s="4"/>
      <c r="F109" s="19">
        <f t="shared" si="32"/>
        <v>34.115319135338417</v>
      </c>
      <c r="G109" s="19">
        <f t="shared" si="33"/>
        <v>1.2542252908017044</v>
      </c>
      <c r="H109" s="19">
        <f t="shared" si="44"/>
        <v>251.40007470919826</v>
      </c>
      <c r="J109" s="19">
        <f t="shared" si="34"/>
        <v>22.368459113695604</v>
      </c>
      <c r="K109" s="19">
        <f t="shared" si="35"/>
        <v>0.594343601813762</v>
      </c>
      <c r="L109" s="19">
        <f t="shared" si="45"/>
        <v>252.05995639818622</v>
      </c>
      <c r="N109" s="19">
        <f t="shared" si="36"/>
        <v>33.877893828327842</v>
      </c>
      <c r="O109" s="19">
        <f t="shared" si="37"/>
        <v>1.2370942964523286</v>
      </c>
      <c r="P109" s="19">
        <f t="shared" si="46"/>
        <v>251.41720570354764</v>
      </c>
      <c r="R109" s="19">
        <f t="shared" si="38"/>
        <v>44.962104057394853</v>
      </c>
      <c r="S109" s="19">
        <f t="shared" si="39"/>
        <v>2.2454955255063207</v>
      </c>
      <c r="T109" s="19">
        <f t="shared" si="47"/>
        <v>250.40880447449365</v>
      </c>
      <c r="V109" s="19">
        <f t="shared" si="40"/>
        <v>53.594828036414675</v>
      </c>
      <c r="W109" s="19">
        <f t="shared" si="41"/>
        <v>3.3771871153308428</v>
      </c>
      <c r="X109" s="19">
        <f t="shared" si="48"/>
        <v>249.27711288466912</v>
      </c>
      <c r="Z109" s="19">
        <f t="shared" si="42"/>
        <v>158.6440585938042</v>
      </c>
      <c r="AA109" s="19">
        <f t="shared" si="43"/>
        <v>64.337591272656908</v>
      </c>
      <c r="AB109" s="19">
        <f t="shared" si="49"/>
        <v>188.31670872734307</v>
      </c>
    </row>
    <row r="110" spans="2:28" x14ac:dyDescent="0.3">
      <c r="B110" s="10">
        <v>3296.66</v>
      </c>
      <c r="C110" s="10">
        <v>284.36399999999998</v>
      </c>
      <c r="D110" s="10">
        <f t="shared" si="31"/>
        <v>255.92759999999998</v>
      </c>
      <c r="E110" s="4"/>
      <c r="F110" s="19">
        <f t="shared" si="32"/>
        <v>34.581913664282034</v>
      </c>
      <c r="G110" s="19">
        <f t="shared" si="33"/>
        <v>1.2884092451869318</v>
      </c>
      <c r="H110" s="19">
        <f t="shared" si="44"/>
        <v>254.63919075481306</v>
      </c>
      <c r="J110" s="19">
        <f t="shared" si="34"/>
        <v>22.674392076009244</v>
      </c>
      <c r="K110" s="19">
        <f t="shared" si="35"/>
        <v>0.60727277850164596</v>
      </c>
      <c r="L110" s="19">
        <f t="shared" si="45"/>
        <v>255.32032722149833</v>
      </c>
      <c r="N110" s="19">
        <f t="shared" si="36"/>
        <v>34.341241096155585</v>
      </c>
      <c r="O110" s="19">
        <f t="shared" si="37"/>
        <v>1.2706908601178695</v>
      </c>
      <c r="P110" s="19">
        <f t="shared" si="46"/>
        <v>254.65690913988212</v>
      </c>
      <c r="R110" s="19">
        <f t="shared" si="38"/>
        <v>45.577049844058855</v>
      </c>
      <c r="S110" s="19">
        <f t="shared" si="39"/>
        <v>2.3151927646979162</v>
      </c>
      <c r="T110" s="19">
        <f t="shared" si="47"/>
        <v>253.61240723530207</v>
      </c>
      <c r="V110" s="19">
        <f t="shared" si="40"/>
        <v>54.327843414118156</v>
      </c>
      <c r="W110" s="19">
        <f t="shared" si="41"/>
        <v>3.4894056436499876</v>
      </c>
      <c r="X110" s="19">
        <f t="shared" si="48"/>
        <v>252.43819435635001</v>
      </c>
      <c r="Z110" s="19">
        <f t="shared" si="42"/>
        <v>160.8138301704858</v>
      </c>
      <c r="AA110" s="19">
        <f t="shared" si="43"/>
        <v>66.930057566840929</v>
      </c>
      <c r="AB110" s="19">
        <f t="shared" si="49"/>
        <v>188.99754243315905</v>
      </c>
    </row>
    <row r="111" spans="2:28" x14ac:dyDescent="0.3">
      <c r="B111" s="10">
        <v>3346.7</v>
      </c>
      <c r="C111" s="10">
        <v>288.72699999999998</v>
      </c>
      <c r="D111" s="10">
        <f t="shared" si="31"/>
        <v>259.85429999999997</v>
      </c>
      <c r="E111" s="4"/>
      <c r="F111" s="19">
        <f t="shared" si="32"/>
        <v>35.106832509343612</v>
      </c>
      <c r="G111" s="19">
        <f t="shared" si="33"/>
        <v>1.3276962172501772</v>
      </c>
      <c r="H111" s="19">
        <f t="shared" si="44"/>
        <v>258.52660378274982</v>
      </c>
      <c r="J111" s="19">
        <f t="shared" si="34"/>
        <v>23.018566658612091</v>
      </c>
      <c r="K111" s="19">
        <f t="shared" si="35"/>
        <v>0.62205206690972648</v>
      </c>
      <c r="L111" s="19">
        <f t="shared" si="45"/>
        <v>259.23224793309026</v>
      </c>
      <c r="N111" s="19">
        <f t="shared" si="36"/>
        <v>34.862506772461792</v>
      </c>
      <c r="O111" s="19">
        <f t="shared" si="37"/>
        <v>1.3092998083226599</v>
      </c>
      <c r="P111" s="19">
        <f t="shared" si="46"/>
        <v>258.54500019167733</v>
      </c>
      <c r="R111" s="19">
        <f t="shared" si="38"/>
        <v>46.268863854055851</v>
      </c>
      <c r="S111" s="19">
        <f t="shared" si="39"/>
        <v>2.3955022825542382</v>
      </c>
      <c r="T111" s="19">
        <f t="shared" si="47"/>
        <v>257.45879771744575</v>
      </c>
      <c r="V111" s="19">
        <f t="shared" si="40"/>
        <v>55.152485714034583</v>
      </c>
      <c r="W111" s="19">
        <f t="shared" si="41"/>
        <v>3.6188696704145986</v>
      </c>
      <c r="X111" s="19">
        <f t="shared" si="48"/>
        <v>256.23543032958537</v>
      </c>
      <c r="Z111" s="19">
        <f t="shared" si="42"/>
        <v>163.25482319425262</v>
      </c>
      <c r="AA111" s="19">
        <f t="shared" si="43"/>
        <v>69.930048886854166</v>
      </c>
      <c r="AB111" s="19">
        <f t="shared" si="49"/>
        <v>189.9242511131458</v>
      </c>
    </row>
    <row r="112" spans="2:28" x14ac:dyDescent="0.3">
      <c r="B112" s="10">
        <v>3391.18</v>
      </c>
      <c r="C112" s="10">
        <v>293.09100000000001</v>
      </c>
      <c r="D112" s="10">
        <f t="shared" si="31"/>
        <v>263.78190000000001</v>
      </c>
      <c r="E112" s="4"/>
      <c r="F112" s="19">
        <f t="shared" si="32"/>
        <v>35.573427038287221</v>
      </c>
      <c r="G112" s="19">
        <f t="shared" si="33"/>
        <v>1.3633661324139237</v>
      </c>
      <c r="H112" s="19">
        <f t="shared" si="44"/>
        <v>262.41853386758606</v>
      </c>
      <c r="J112" s="19">
        <f t="shared" si="34"/>
        <v>23.324499620925735</v>
      </c>
      <c r="K112" s="19">
        <f t="shared" si="35"/>
        <v>0.6354001020038107</v>
      </c>
      <c r="L112" s="19">
        <f t="shared" si="45"/>
        <v>263.14649989799619</v>
      </c>
      <c r="N112" s="19">
        <f t="shared" si="36"/>
        <v>35.325854040289535</v>
      </c>
      <c r="O112" s="19">
        <f t="shared" si="37"/>
        <v>1.3443515235826984</v>
      </c>
      <c r="P112" s="19">
        <f t="shared" si="46"/>
        <v>262.43754847641731</v>
      </c>
      <c r="R112" s="19">
        <f t="shared" si="38"/>
        <v>46.883809640719853</v>
      </c>
      <c r="S112" s="19">
        <f t="shared" si="39"/>
        <v>2.4686012444668761</v>
      </c>
      <c r="T112" s="19">
        <f t="shared" si="47"/>
        <v>261.31329875553314</v>
      </c>
      <c r="V112" s="19">
        <f t="shared" si="40"/>
        <v>55.885501091738071</v>
      </c>
      <c r="W112" s="19">
        <f t="shared" si="41"/>
        <v>3.7368495940737008</v>
      </c>
      <c r="X112" s="19">
        <f t="shared" si="48"/>
        <v>260.0450504059263</v>
      </c>
      <c r="Z112" s="19">
        <f t="shared" si="42"/>
        <v>165.42459477093422</v>
      </c>
      <c r="AA112" s="19">
        <f t="shared" si="43"/>
        <v>72.671942659296477</v>
      </c>
      <c r="AB112" s="19">
        <f t="shared" si="49"/>
        <v>191.10995734070355</v>
      </c>
    </row>
    <row r="113" spans="2:28" x14ac:dyDescent="0.3">
      <c r="B113" s="10">
        <v>3430.1</v>
      </c>
      <c r="C113" s="10">
        <v>296</v>
      </c>
      <c r="D113" s="10">
        <f t="shared" si="31"/>
        <v>266.40000000000003</v>
      </c>
      <c r="E113" s="4"/>
      <c r="F113" s="19">
        <f t="shared" si="32"/>
        <v>35.981697251112884</v>
      </c>
      <c r="G113" s="19">
        <f t="shared" si="33"/>
        <v>1.395162614724559</v>
      </c>
      <c r="H113" s="19">
        <f t="shared" si="44"/>
        <v>265.00483738527549</v>
      </c>
      <c r="J113" s="19">
        <f t="shared" si="34"/>
        <v>23.59219096295017</v>
      </c>
      <c r="K113" s="19">
        <f t="shared" si="35"/>
        <v>0.64724461725784221</v>
      </c>
      <c r="L113" s="19">
        <f t="shared" si="45"/>
        <v>265.75275538274218</v>
      </c>
      <c r="N113" s="19">
        <f t="shared" si="36"/>
        <v>35.731282899638806</v>
      </c>
      <c r="O113" s="19">
        <f t="shared" si="37"/>
        <v>1.375594945518003</v>
      </c>
      <c r="P113" s="19">
        <f t="shared" si="46"/>
        <v>265.02440505448203</v>
      </c>
      <c r="R113" s="19">
        <f t="shared" si="38"/>
        <v>47.421887204050854</v>
      </c>
      <c r="S113" s="19">
        <f t="shared" si="39"/>
        <v>2.5339027440254132</v>
      </c>
      <c r="T113" s="19">
        <f t="shared" si="47"/>
        <v>263.86609725597464</v>
      </c>
      <c r="V113" s="19">
        <f t="shared" si="40"/>
        <v>56.52688954722862</v>
      </c>
      <c r="W113" s="19">
        <f t="shared" si="41"/>
        <v>3.8423513889128977</v>
      </c>
      <c r="X113" s="19">
        <f t="shared" si="48"/>
        <v>262.55764861108713</v>
      </c>
      <c r="Z113" s="19">
        <f t="shared" si="42"/>
        <v>167.32314490053062</v>
      </c>
      <c r="AA113" s="19">
        <f t="shared" si="43"/>
        <v>75.129957845537163</v>
      </c>
      <c r="AB113" s="19">
        <f t="shared" si="49"/>
        <v>191.27004215446289</v>
      </c>
    </row>
    <row r="114" spans="2:28" x14ac:dyDescent="0.3">
      <c r="B114" s="10">
        <v>3480.14</v>
      </c>
      <c r="C114" s="10">
        <v>300.36399999999998</v>
      </c>
      <c r="D114" s="10">
        <f t="shared" si="31"/>
        <v>270.32759999999996</v>
      </c>
      <c r="E114" s="4"/>
      <c r="F114" s="19">
        <f t="shared" si="32"/>
        <v>36.506616096174461</v>
      </c>
      <c r="G114" s="19">
        <f t="shared" si="33"/>
        <v>1.4368570467363551</v>
      </c>
      <c r="H114" s="19">
        <f t="shared" si="44"/>
        <v>268.89074295326361</v>
      </c>
      <c r="J114" s="19">
        <f t="shared" si="34"/>
        <v>23.93636554555302</v>
      </c>
      <c r="K114" s="19">
        <f t="shared" si="35"/>
        <v>0.66270251364240318</v>
      </c>
      <c r="L114" s="19">
        <f t="shared" si="45"/>
        <v>269.66489748635757</v>
      </c>
      <c r="N114" s="19">
        <f t="shared" si="36"/>
        <v>36.252548575945021</v>
      </c>
      <c r="O114" s="19">
        <f t="shared" si="37"/>
        <v>1.4165614385742216</v>
      </c>
      <c r="P114" s="19">
        <f t="shared" si="46"/>
        <v>268.91103856142576</v>
      </c>
      <c r="R114" s="19">
        <f t="shared" si="38"/>
        <v>48.11370121404785</v>
      </c>
      <c r="S114" s="19">
        <f t="shared" si="39"/>
        <v>2.6197235185214565</v>
      </c>
      <c r="T114" s="19">
        <f t="shared" si="47"/>
        <v>267.70787648147848</v>
      </c>
      <c r="V114" s="19">
        <f t="shared" si="40"/>
        <v>57.35153184714504</v>
      </c>
      <c r="W114" s="19">
        <f t="shared" si="41"/>
        <v>3.9811496650932439</v>
      </c>
      <c r="X114" s="19">
        <f t="shared" si="48"/>
        <v>266.34645033490671</v>
      </c>
      <c r="Z114" s="19">
        <f t="shared" si="42"/>
        <v>169.76413792429747</v>
      </c>
      <c r="AA114" s="19">
        <f t="shared" si="43"/>
        <v>78.372042142915561</v>
      </c>
      <c r="AB114" s="19">
        <f t="shared" si="49"/>
        <v>191.95555785708439</v>
      </c>
    </row>
    <row r="115" spans="2:28" x14ac:dyDescent="0.3">
      <c r="B115" s="10">
        <v>3513.5</v>
      </c>
      <c r="C115" s="10">
        <v>303.27300000000002</v>
      </c>
      <c r="D115" s="10">
        <f t="shared" si="31"/>
        <v>272.94570000000004</v>
      </c>
      <c r="E115" s="4"/>
      <c r="F115" s="19">
        <f t="shared" si="32"/>
        <v>36.85656199288217</v>
      </c>
      <c r="G115" s="19">
        <f t="shared" si="33"/>
        <v>1.4651676453448479</v>
      </c>
      <c r="H115" s="19">
        <f t="shared" si="44"/>
        <v>271.48053235465522</v>
      </c>
      <c r="J115" s="19">
        <f t="shared" si="34"/>
        <v>24.165815267288252</v>
      </c>
      <c r="K115" s="19">
        <f t="shared" si="35"/>
        <v>0.67315275031096033</v>
      </c>
      <c r="L115" s="19">
        <f t="shared" si="45"/>
        <v>272.27254724968907</v>
      </c>
      <c r="N115" s="19">
        <f t="shared" si="36"/>
        <v>36.600059026815828</v>
      </c>
      <c r="O115" s="19">
        <f t="shared" si="37"/>
        <v>1.4443760810812107</v>
      </c>
      <c r="P115" s="19">
        <f t="shared" si="46"/>
        <v>271.50132391891884</v>
      </c>
      <c r="R115" s="19">
        <f t="shared" si="38"/>
        <v>48.57491055404585</v>
      </c>
      <c r="S115" s="19">
        <f t="shared" si="39"/>
        <v>2.6781147492315571</v>
      </c>
      <c r="T115" s="19">
        <f t="shared" si="47"/>
        <v>270.26758525076849</v>
      </c>
      <c r="V115" s="19">
        <f t="shared" si="40"/>
        <v>57.901293380422665</v>
      </c>
      <c r="W115" s="19">
        <f t="shared" si="41"/>
        <v>4.0756759440379096</v>
      </c>
      <c r="X115" s="19">
        <f t="shared" si="48"/>
        <v>268.87002405596212</v>
      </c>
      <c r="Z115" s="19">
        <f t="shared" si="42"/>
        <v>171.39146660680868</v>
      </c>
      <c r="AA115" s="19">
        <f t="shared" si="43"/>
        <v>80.585150493197119</v>
      </c>
      <c r="AB115" s="19">
        <f t="shared" si="49"/>
        <v>192.36054950680293</v>
      </c>
    </row>
    <row r="116" spans="2:28" x14ac:dyDescent="0.3">
      <c r="B116" s="10">
        <v>3557.98</v>
      </c>
      <c r="C116" s="10">
        <v>307.63600000000002</v>
      </c>
      <c r="D116" s="10">
        <f t="shared" si="31"/>
        <v>276.87240000000003</v>
      </c>
      <c r="E116" s="4"/>
      <c r="F116" s="19">
        <f t="shared" si="32"/>
        <v>37.323156521825794</v>
      </c>
      <c r="G116" s="19">
        <f t="shared" si="33"/>
        <v>1.5035629931214249</v>
      </c>
      <c r="H116" s="19">
        <f t="shared" si="44"/>
        <v>275.36883700687861</v>
      </c>
      <c r="J116" s="19">
        <f t="shared" si="34"/>
        <v>24.471748229601893</v>
      </c>
      <c r="K116" s="19">
        <f t="shared" si="35"/>
        <v>0.68726902261353395</v>
      </c>
      <c r="L116" s="19">
        <f t="shared" si="45"/>
        <v>276.18513097738651</v>
      </c>
      <c r="N116" s="19">
        <f t="shared" si="36"/>
        <v>37.063406294643563</v>
      </c>
      <c r="O116" s="19">
        <f t="shared" si="37"/>
        <v>1.4820967211672487</v>
      </c>
      <c r="P116" s="19">
        <f t="shared" si="46"/>
        <v>275.39030327883279</v>
      </c>
      <c r="R116" s="19">
        <f t="shared" si="38"/>
        <v>49.189856340709845</v>
      </c>
      <c r="S116" s="19">
        <f t="shared" si="39"/>
        <v>2.7574528839257018</v>
      </c>
      <c r="T116" s="19">
        <f t="shared" si="47"/>
        <v>274.11494711607435</v>
      </c>
      <c r="V116" s="19">
        <f t="shared" si="40"/>
        <v>58.634308758126153</v>
      </c>
      <c r="W116" s="19">
        <f t="shared" si="41"/>
        <v>4.2042229667630808</v>
      </c>
      <c r="X116" s="19">
        <f t="shared" si="48"/>
        <v>272.66817703323693</v>
      </c>
      <c r="Z116" s="19">
        <f t="shared" si="42"/>
        <v>173.5612381834903</v>
      </c>
      <c r="AA116" s="19">
        <f t="shared" si="43"/>
        <v>83.601112416282987</v>
      </c>
      <c r="AB116" s="19">
        <f t="shared" si="49"/>
        <v>193.27128758371703</v>
      </c>
    </row>
    <row r="117" spans="2:28" x14ac:dyDescent="0.3">
      <c r="B117" s="10">
        <v>3596.9</v>
      </c>
      <c r="C117" s="10">
        <v>310.54500000000002</v>
      </c>
      <c r="D117" s="10">
        <f t="shared" si="31"/>
        <v>279.4905</v>
      </c>
      <c r="E117" s="4"/>
      <c r="F117" s="19">
        <f t="shared" si="32"/>
        <v>37.73142673465145</v>
      </c>
      <c r="G117" s="19">
        <f t="shared" si="33"/>
        <v>1.537773033843373</v>
      </c>
      <c r="H117" s="19">
        <f t="shared" si="44"/>
        <v>277.9527269661566</v>
      </c>
      <c r="J117" s="19">
        <f t="shared" si="34"/>
        <v>24.739439571626331</v>
      </c>
      <c r="K117" s="19">
        <f t="shared" si="35"/>
        <v>0.69979386486141815</v>
      </c>
      <c r="L117" s="19">
        <f t="shared" si="45"/>
        <v>278.79070613513858</v>
      </c>
      <c r="N117" s="19">
        <f t="shared" si="36"/>
        <v>37.468835153992835</v>
      </c>
      <c r="O117" s="19">
        <f t="shared" si="37"/>
        <v>1.5157036599741991</v>
      </c>
      <c r="P117" s="19">
        <f t="shared" si="46"/>
        <v>277.97479634002582</v>
      </c>
      <c r="R117" s="19">
        <f t="shared" si="38"/>
        <v>49.727933904040853</v>
      </c>
      <c r="S117" s="19">
        <f t="shared" si="39"/>
        <v>2.8282796009765248</v>
      </c>
      <c r="T117" s="19">
        <f t="shared" si="47"/>
        <v>276.66222039902345</v>
      </c>
      <c r="V117" s="19">
        <f t="shared" si="40"/>
        <v>59.275697213616702</v>
      </c>
      <c r="W117" s="19">
        <f t="shared" si="41"/>
        <v>4.3190826560936095</v>
      </c>
      <c r="X117" s="19">
        <f t="shared" si="48"/>
        <v>275.1714173439064</v>
      </c>
      <c r="Z117" s="19">
        <f t="shared" si="42"/>
        <v>175.4597883130867</v>
      </c>
      <c r="AA117" s="19">
        <f t="shared" si="43"/>
        <v>86.301833838276949</v>
      </c>
      <c r="AB117" s="19">
        <f t="shared" si="49"/>
        <v>193.18866616172306</v>
      </c>
    </row>
    <row r="118" spans="2:28" x14ac:dyDescent="0.3">
      <c r="B118" s="10">
        <v>3641.38</v>
      </c>
      <c r="C118" s="10">
        <v>314.90899999999999</v>
      </c>
      <c r="D118" s="10">
        <f t="shared" si="31"/>
        <v>283.41809999999998</v>
      </c>
      <c r="E118" s="4"/>
      <c r="F118" s="19">
        <f t="shared" si="32"/>
        <v>38.198021263595066</v>
      </c>
      <c r="G118" s="19">
        <f t="shared" si="33"/>
        <v>1.5775804777122286</v>
      </c>
      <c r="H118" s="19">
        <f t="shared" si="44"/>
        <v>281.84051952228776</v>
      </c>
      <c r="J118" s="19">
        <f t="shared" si="34"/>
        <v>25.045372533939972</v>
      </c>
      <c r="K118" s="19">
        <f t="shared" si="35"/>
        <v>0.71430817480210673</v>
      </c>
      <c r="L118" s="19">
        <f t="shared" si="45"/>
        <v>282.70379182519787</v>
      </c>
      <c r="N118" s="19">
        <f t="shared" si="36"/>
        <v>37.932182421820585</v>
      </c>
      <c r="O118" s="19">
        <f t="shared" si="37"/>
        <v>1.5548071184427732</v>
      </c>
      <c r="P118" s="19">
        <f t="shared" si="46"/>
        <v>281.86329288155719</v>
      </c>
      <c r="R118" s="19">
        <f t="shared" si="38"/>
        <v>50.342879690704848</v>
      </c>
      <c r="S118" s="19">
        <f t="shared" si="39"/>
        <v>2.9108503643045056</v>
      </c>
      <c r="T118" s="19">
        <f t="shared" si="47"/>
        <v>280.50724963569547</v>
      </c>
      <c r="V118" s="19">
        <f t="shared" si="40"/>
        <v>60.00871259132019</v>
      </c>
      <c r="W118" s="19">
        <f t="shared" si="41"/>
        <v>4.4531046845949955</v>
      </c>
      <c r="X118" s="19">
        <f t="shared" si="48"/>
        <v>278.96499531540496</v>
      </c>
      <c r="Z118" s="19">
        <f t="shared" si="42"/>
        <v>177.6295598897683</v>
      </c>
      <c r="AA118" s="19">
        <f t="shared" si="43"/>
        <v>89.459795443439106</v>
      </c>
      <c r="AB118" s="19">
        <f t="shared" si="49"/>
        <v>193.95830455656088</v>
      </c>
    </row>
    <row r="119" spans="2:28" x14ac:dyDescent="0.3">
      <c r="B119" s="10">
        <v>3680.3</v>
      </c>
      <c r="C119" s="10">
        <v>318.54500000000002</v>
      </c>
      <c r="D119" s="10">
        <f t="shared" si="31"/>
        <v>286.69050000000004</v>
      </c>
      <c r="E119" s="4"/>
      <c r="F119" s="19">
        <f t="shared" si="32"/>
        <v>38.606291476420736</v>
      </c>
      <c r="G119" s="19">
        <f t="shared" si="33"/>
        <v>1.6130405049524661</v>
      </c>
      <c r="H119" s="19">
        <f t="shared" si="44"/>
        <v>285.07745949504755</v>
      </c>
      <c r="J119" s="19">
        <f t="shared" si="34"/>
        <v>25.31306387596441</v>
      </c>
      <c r="K119" s="19">
        <f t="shared" si="35"/>
        <v>0.72718535970155362</v>
      </c>
      <c r="L119" s="19">
        <f t="shared" si="45"/>
        <v>285.96331464029851</v>
      </c>
      <c r="N119" s="19">
        <f t="shared" si="36"/>
        <v>38.337611281169856</v>
      </c>
      <c r="O119" s="19">
        <f t="shared" si="37"/>
        <v>1.5896381271588897</v>
      </c>
      <c r="P119" s="19">
        <f t="shared" si="46"/>
        <v>285.10086187284116</v>
      </c>
      <c r="R119" s="19">
        <f t="shared" si="38"/>
        <v>50.880957254035849</v>
      </c>
      <c r="S119" s="19">
        <f t="shared" si="39"/>
        <v>2.9845386020641658</v>
      </c>
      <c r="T119" s="19">
        <f t="shared" si="47"/>
        <v>283.70596139793588</v>
      </c>
      <c r="V119" s="19">
        <f t="shared" si="40"/>
        <v>60.65010104681074</v>
      </c>
      <c r="W119" s="19">
        <f t="shared" si="41"/>
        <v>4.5728108453839731</v>
      </c>
      <c r="X119" s="19">
        <f t="shared" si="48"/>
        <v>282.11768915461607</v>
      </c>
      <c r="Z119" s="19">
        <f t="shared" si="42"/>
        <v>179.52811001936473</v>
      </c>
      <c r="AA119" s="19">
        <f t="shared" si="43"/>
        <v>92.286214889219863</v>
      </c>
      <c r="AB119" s="19">
        <f t="shared" si="49"/>
        <v>194.40428511078017</v>
      </c>
    </row>
    <row r="120" spans="2:28" x14ac:dyDescent="0.3">
      <c r="B120" s="10">
        <v>3708.1</v>
      </c>
      <c r="C120" s="10">
        <v>320.72699999999998</v>
      </c>
      <c r="D120" s="10">
        <f t="shared" si="31"/>
        <v>288.65429999999998</v>
      </c>
      <c r="E120" s="4"/>
      <c r="F120" s="19">
        <f t="shared" si="32"/>
        <v>38.897913057010491</v>
      </c>
      <c r="G120" s="19">
        <f t="shared" si="33"/>
        <v>1.6387319043745441</v>
      </c>
      <c r="H120" s="19">
        <f t="shared" si="44"/>
        <v>287.01556809562544</v>
      </c>
      <c r="J120" s="19">
        <f t="shared" si="34"/>
        <v>25.504271977410436</v>
      </c>
      <c r="K120" s="19">
        <f t="shared" si="35"/>
        <v>0.73648561635575838</v>
      </c>
      <c r="L120" s="19">
        <f t="shared" si="45"/>
        <v>287.91781438364421</v>
      </c>
      <c r="N120" s="19">
        <f t="shared" si="36"/>
        <v>38.627203323562192</v>
      </c>
      <c r="O120" s="19">
        <f t="shared" si="37"/>
        <v>1.6148727053404228</v>
      </c>
      <c r="P120" s="19">
        <f t="shared" si="46"/>
        <v>287.03942729465956</v>
      </c>
      <c r="R120" s="19">
        <f t="shared" si="38"/>
        <v>51.26529837070084</v>
      </c>
      <c r="S120" s="19">
        <f t="shared" si="39"/>
        <v>3.0380036138763686</v>
      </c>
      <c r="T120" s="19">
        <f t="shared" si="47"/>
        <v>285.61629638612362</v>
      </c>
      <c r="V120" s="19">
        <f t="shared" si="40"/>
        <v>61.108235657875412</v>
      </c>
      <c r="W120" s="19">
        <f t="shared" si="41"/>
        <v>4.6597219340916185</v>
      </c>
      <c r="X120" s="19">
        <f t="shared" si="48"/>
        <v>283.99457806590834</v>
      </c>
      <c r="Z120" s="19">
        <f t="shared" si="42"/>
        <v>180.88421725479071</v>
      </c>
      <c r="AA120" s="19">
        <f t="shared" si="43"/>
        <v>94.341569768222286</v>
      </c>
      <c r="AB120" s="19">
        <f t="shared" si="49"/>
        <v>194.31273023177769</v>
      </c>
    </row>
    <row r="121" spans="2:28" x14ac:dyDescent="0.3">
      <c r="B121" s="10">
        <v>3724.78</v>
      </c>
      <c r="C121" s="10">
        <v>322.18200000000002</v>
      </c>
      <c r="D121" s="10">
        <f t="shared" si="31"/>
        <v>289.96380000000005</v>
      </c>
      <c r="E121" s="4"/>
      <c r="F121" s="19">
        <f t="shared" si="32"/>
        <v>39.072886005364353</v>
      </c>
      <c r="G121" s="19">
        <f t="shared" si="33"/>
        <v>1.6542929647708444</v>
      </c>
      <c r="H121" s="19">
        <f t="shared" si="44"/>
        <v>288.30950703522922</v>
      </c>
      <c r="J121" s="19">
        <f t="shared" si="34"/>
        <v>25.618996838278051</v>
      </c>
      <c r="K121" s="19">
        <f t="shared" si="35"/>
        <v>0.74210698663627028</v>
      </c>
      <c r="L121" s="19">
        <f t="shared" si="45"/>
        <v>289.22169301336379</v>
      </c>
      <c r="N121" s="19">
        <f t="shared" si="36"/>
        <v>38.800958548997592</v>
      </c>
      <c r="O121" s="19">
        <f t="shared" si="37"/>
        <v>1.6301566413230231</v>
      </c>
      <c r="P121" s="19">
        <f t="shared" si="46"/>
        <v>288.33364335867702</v>
      </c>
      <c r="R121" s="19">
        <f t="shared" si="38"/>
        <v>51.495903040699844</v>
      </c>
      <c r="S121" s="19">
        <f t="shared" si="39"/>
        <v>3.0704173555213727</v>
      </c>
      <c r="T121" s="19">
        <f t="shared" si="47"/>
        <v>286.89338264447866</v>
      </c>
      <c r="V121" s="19">
        <f t="shared" si="40"/>
        <v>61.383116424514228</v>
      </c>
      <c r="W121" s="19">
        <f t="shared" si="41"/>
        <v>4.7124355171570276</v>
      </c>
      <c r="X121" s="19">
        <f t="shared" si="48"/>
        <v>285.25136448284303</v>
      </c>
      <c r="Z121" s="19">
        <f t="shared" si="42"/>
        <v>181.69788159604636</v>
      </c>
      <c r="AA121" s="19">
        <f t="shared" si="43"/>
        <v>95.589486580961278</v>
      </c>
      <c r="AB121" s="19">
        <f t="shared" si="49"/>
        <v>194.37431341903877</v>
      </c>
    </row>
    <row r="122" spans="2:28" x14ac:dyDescent="0.3">
      <c r="B122" s="10">
        <v>3752.58</v>
      </c>
      <c r="C122" s="10">
        <v>325.09100000000001</v>
      </c>
      <c r="D122" s="10">
        <f t="shared" si="31"/>
        <v>292.58190000000002</v>
      </c>
      <c r="E122" s="4"/>
      <c r="F122" s="19">
        <f t="shared" si="32"/>
        <v>39.364507585954108</v>
      </c>
      <c r="G122" s="19">
        <f t="shared" si="33"/>
        <v>1.6804733516999277</v>
      </c>
      <c r="H122" s="19">
        <f t="shared" si="44"/>
        <v>290.90142664830012</v>
      </c>
      <c r="J122" s="19">
        <f t="shared" si="34"/>
        <v>25.810204939724077</v>
      </c>
      <c r="K122" s="19">
        <f t="shared" si="35"/>
        <v>0.75154507770090972</v>
      </c>
      <c r="L122" s="19">
        <f t="shared" si="45"/>
        <v>291.83035492229914</v>
      </c>
      <c r="N122" s="19">
        <f t="shared" si="36"/>
        <v>39.090550591389935</v>
      </c>
      <c r="O122" s="19">
        <f t="shared" si="37"/>
        <v>1.6558700685837477</v>
      </c>
      <c r="P122" s="19">
        <f t="shared" si="46"/>
        <v>290.92602993141628</v>
      </c>
      <c r="R122" s="19">
        <f t="shared" si="38"/>
        <v>51.880244157364835</v>
      </c>
      <c r="S122" s="19">
        <f t="shared" si="39"/>
        <v>3.1250017777089578</v>
      </c>
      <c r="T122" s="19">
        <f t="shared" si="47"/>
        <v>289.45689822229104</v>
      </c>
      <c r="V122" s="19">
        <f t="shared" si="40"/>
        <v>61.8412510355789</v>
      </c>
      <c r="W122" s="19">
        <f t="shared" si="41"/>
        <v>4.8012425175097757</v>
      </c>
      <c r="X122" s="19">
        <f t="shared" si="48"/>
        <v>287.78065748249026</v>
      </c>
      <c r="Z122" s="19">
        <f t="shared" si="42"/>
        <v>183.05398883147234</v>
      </c>
      <c r="AA122" s="19">
        <f t="shared" si="43"/>
        <v>97.694013800935238</v>
      </c>
      <c r="AB122" s="19">
        <f t="shared" si="49"/>
        <v>194.88788619906478</v>
      </c>
    </row>
    <row r="123" spans="2:28" x14ac:dyDescent="0.3">
      <c r="B123" s="10">
        <v>3791.5</v>
      </c>
      <c r="C123" s="10">
        <v>328</v>
      </c>
      <c r="D123" s="10">
        <f t="shared" si="31"/>
        <v>295.2</v>
      </c>
      <c r="E123" s="4"/>
      <c r="F123" s="19">
        <f t="shared" si="32"/>
        <v>39.772777798779778</v>
      </c>
      <c r="G123" s="19">
        <f t="shared" si="33"/>
        <v>1.7176448352146865</v>
      </c>
      <c r="H123" s="19">
        <f t="shared" si="44"/>
        <v>293.4823551647853</v>
      </c>
      <c r="J123" s="19">
        <f t="shared" si="34"/>
        <v>26.077896281748515</v>
      </c>
      <c r="K123" s="19">
        <f t="shared" si="35"/>
        <v>0.76490468303687775</v>
      </c>
      <c r="L123" s="19">
        <f t="shared" si="45"/>
        <v>294.4350953169631</v>
      </c>
      <c r="N123" s="19">
        <f t="shared" si="36"/>
        <v>39.495979450739199</v>
      </c>
      <c r="O123" s="19">
        <f t="shared" si="37"/>
        <v>1.6923770490770347</v>
      </c>
      <c r="P123" s="19">
        <f t="shared" si="46"/>
        <v>293.50762295092295</v>
      </c>
      <c r="R123" s="19">
        <f t="shared" si="38"/>
        <v>52.41832172069585</v>
      </c>
      <c r="S123" s="19">
        <f t="shared" si="39"/>
        <v>3.2026079517824608</v>
      </c>
      <c r="T123" s="19">
        <f t="shared" si="47"/>
        <v>291.99739204821753</v>
      </c>
      <c r="V123" s="19">
        <f t="shared" si="40"/>
        <v>62.482639491069449</v>
      </c>
      <c r="W123" s="19">
        <f t="shared" si="41"/>
        <v>4.9275843690566088</v>
      </c>
      <c r="X123" s="19">
        <f t="shared" si="48"/>
        <v>290.27241563094339</v>
      </c>
      <c r="Z123" s="19">
        <f t="shared" si="42"/>
        <v>184.95253896106877</v>
      </c>
      <c r="AA123" s="19">
        <f t="shared" si="43"/>
        <v>100.69253644011636</v>
      </c>
      <c r="AB123" s="19">
        <f t="shared" si="49"/>
        <v>194.50746355988363</v>
      </c>
    </row>
    <row r="124" spans="2:28" x14ac:dyDescent="0.3">
      <c r="B124" s="10">
        <v>3813.74</v>
      </c>
      <c r="C124" s="10">
        <v>330.18200000000002</v>
      </c>
      <c r="D124" s="10">
        <f t="shared" si="31"/>
        <v>297.16380000000004</v>
      </c>
      <c r="E124" s="4"/>
      <c r="F124" s="19">
        <f t="shared" si="32"/>
        <v>40.006075063251586</v>
      </c>
      <c r="G124" s="19">
        <f t="shared" si="33"/>
        <v>1.7391596554888928</v>
      </c>
      <c r="H124" s="19">
        <f t="shared" si="44"/>
        <v>295.42464034451115</v>
      </c>
      <c r="J124" s="19">
        <f t="shared" si="34"/>
        <v>26.230862762905335</v>
      </c>
      <c r="K124" s="19">
        <f t="shared" si="35"/>
        <v>0.77261596983397396</v>
      </c>
      <c r="L124" s="19">
        <f t="shared" si="45"/>
        <v>296.39118403016607</v>
      </c>
      <c r="N124" s="19">
        <f t="shared" si="36"/>
        <v>39.72765308465307</v>
      </c>
      <c r="O124" s="19">
        <f t="shared" si="37"/>
        <v>1.7135064729260849</v>
      </c>
      <c r="P124" s="19">
        <f t="shared" si="46"/>
        <v>295.45029352707394</v>
      </c>
      <c r="R124" s="19">
        <f t="shared" si="38"/>
        <v>52.725794614027841</v>
      </c>
      <c r="S124" s="19">
        <f t="shared" si="39"/>
        <v>3.2475815262355749</v>
      </c>
      <c r="T124" s="19">
        <f t="shared" si="47"/>
        <v>293.91621847376445</v>
      </c>
      <c r="V124" s="19">
        <f t="shared" si="40"/>
        <v>62.849147179921196</v>
      </c>
      <c r="W124" s="19">
        <f t="shared" si="41"/>
        <v>5.0008419643753816</v>
      </c>
      <c r="X124" s="19">
        <f t="shared" si="48"/>
        <v>292.16295803562468</v>
      </c>
      <c r="Z124" s="19">
        <f t="shared" si="42"/>
        <v>186.03742474940952</v>
      </c>
      <c r="AA124" s="19">
        <f t="shared" si="43"/>
        <v>102.43352849199758</v>
      </c>
      <c r="AB124" s="19">
        <f t="shared" si="49"/>
        <v>194.73027150800246</v>
      </c>
    </row>
    <row r="125" spans="2:28" x14ac:dyDescent="0.3">
      <c r="B125" s="10">
        <v>3847.1</v>
      </c>
      <c r="C125" s="10">
        <v>333.09100000000001</v>
      </c>
      <c r="D125" s="10">
        <f t="shared" si="31"/>
        <v>299.78190000000001</v>
      </c>
      <c r="E125" s="4"/>
      <c r="F125" s="19">
        <f t="shared" si="32"/>
        <v>40.356020959959295</v>
      </c>
      <c r="G125" s="19">
        <f t="shared" si="33"/>
        <v>1.7718085939316774</v>
      </c>
      <c r="H125" s="19">
        <f t="shared" si="44"/>
        <v>298.01009140606834</v>
      </c>
      <c r="J125" s="19">
        <f t="shared" si="34"/>
        <v>26.460312484640568</v>
      </c>
      <c r="K125" s="19">
        <f t="shared" si="35"/>
        <v>0.78428908542020737</v>
      </c>
      <c r="L125" s="19">
        <f t="shared" si="45"/>
        <v>298.99761091457981</v>
      </c>
      <c r="N125" s="19">
        <f t="shared" si="36"/>
        <v>40.075163535523878</v>
      </c>
      <c r="O125" s="19">
        <f t="shared" si="37"/>
        <v>1.7455695062510539</v>
      </c>
      <c r="P125" s="19">
        <f t="shared" si="46"/>
        <v>298.03633049374895</v>
      </c>
      <c r="R125" s="19">
        <f t="shared" si="38"/>
        <v>53.18700395402584</v>
      </c>
      <c r="S125" s="19">
        <f t="shared" si="39"/>
        <v>3.3159042634828881</v>
      </c>
      <c r="T125" s="19">
        <f t="shared" si="47"/>
        <v>296.46599573651713</v>
      </c>
      <c r="V125" s="19">
        <f t="shared" si="40"/>
        <v>63.398908713198814</v>
      </c>
      <c r="W125" s="19">
        <f t="shared" si="41"/>
        <v>5.112188936884599</v>
      </c>
      <c r="X125" s="19">
        <f t="shared" si="48"/>
        <v>294.66971106311541</v>
      </c>
      <c r="Z125" s="19">
        <f t="shared" si="42"/>
        <v>187.66475343192076</v>
      </c>
      <c r="AA125" s="19">
        <f t="shared" si="43"/>
        <v>105.08289814246726</v>
      </c>
      <c r="AB125" s="19">
        <f t="shared" si="49"/>
        <v>194.69900185753275</v>
      </c>
    </row>
    <row r="126" spans="2:28" x14ac:dyDescent="0.3">
      <c r="B126" s="10">
        <v>3891.58</v>
      </c>
      <c r="C126" s="10">
        <v>337.45499999999998</v>
      </c>
      <c r="D126" s="10">
        <f t="shared" si="31"/>
        <v>303.70949999999999</v>
      </c>
      <c r="E126" s="4"/>
      <c r="F126" s="19">
        <f t="shared" si="32"/>
        <v>40.822615488902919</v>
      </c>
      <c r="G126" s="19">
        <f t="shared" si="33"/>
        <v>1.8160498452208309</v>
      </c>
      <c r="H126" s="19">
        <f t="shared" si="44"/>
        <v>301.89345015477915</v>
      </c>
      <c r="J126" s="19">
        <f t="shared" si="34"/>
        <v>26.766245446954208</v>
      </c>
      <c r="K126" s="19">
        <f t="shared" si="35"/>
        <v>0.80005318441072071</v>
      </c>
      <c r="L126" s="19">
        <f t="shared" si="45"/>
        <v>302.90944681558926</v>
      </c>
      <c r="N126" s="19">
        <f t="shared" si="36"/>
        <v>40.53851080335162</v>
      </c>
      <c r="O126" s="19">
        <f t="shared" si="37"/>
        <v>1.7890148437453766</v>
      </c>
      <c r="P126" s="19">
        <f t="shared" si="46"/>
        <v>301.92048515625464</v>
      </c>
      <c r="R126" s="19">
        <f t="shared" si="38"/>
        <v>53.801949740689835</v>
      </c>
      <c r="S126" s="19">
        <f t="shared" si="39"/>
        <v>3.4086250816847077</v>
      </c>
      <c r="T126" s="19">
        <f t="shared" si="47"/>
        <v>300.30087491831529</v>
      </c>
      <c r="V126" s="19">
        <f t="shared" si="40"/>
        <v>64.131924090902288</v>
      </c>
      <c r="W126" s="19">
        <f t="shared" si="41"/>
        <v>5.2634018076873499</v>
      </c>
      <c r="X126" s="19">
        <f t="shared" si="48"/>
        <v>298.44609819231266</v>
      </c>
      <c r="Z126" s="19">
        <f t="shared" si="42"/>
        <v>189.83452500860236</v>
      </c>
      <c r="AA126" s="19">
        <f t="shared" si="43"/>
        <v>108.68672122087612</v>
      </c>
      <c r="AB126" s="19">
        <f t="shared" si="49"/>
        <v>195.02277877912388</v>
      </c>
    </row>
    <row r="127" spans="2:28" x14ac:dyDescent="0.3">
      <c r="B127" s="10">
        <v>3941.62</v>
      </c>
      <c r="C127" s="10">
        <v>341.81799999999998</v>
      </c>
      <c r="D127" s="10">
        <f t="shared" si="31"/>
        <v>307.63619999999997</v>
      </c>
      <c r="E127" s="4"/>
      <c r="F127" s="19">
        <f t="shared" si="32"/>
        <v>41.347534333964489</v>
      </c>
      <c r="G127" s="19">
        <f t="shared" si="33"/>
        <v>1.8668009793518054</v>
      </c>
      <c r="H127" s="19">
        <f t="shared" si="44"/>
        <v>305.76939902064817</v>
      </c>
      <c r="J127" s="19">
        <f t="shared" si="34"/>
        <v>27.110420029557059</v>
      </c>
      <c r="K127" s="19">
        <f t="shared" si="35"/>
        <v>0.818063958280276</v>
      </c>
      <c r="L127" s="19">
        <f t="shared" si="45"/>
        <v>306.8181360417197</v>
      </c>
      <c r="N127" s="19">
        <f t="shared" si="36"/>
        <v>41.059776479657828</v>
      </c>
      <c r="O127" s="19">
        <f t="shared" si="37"/>
        <v>1.8388502616885209</v>
      </c>
      <c r="P127" s="19">
        <f t="shared" si="46"/>
        <v>305.79734973831142</v>
      </c>
      <c r="R127" s="19">
        <f t="shared" si="38"/>
        <v>54.493763750686831</v>
      </c>
      <c r="S127" s="19">
        <f t="shared" si="39"/>
        <v>3.5151788323278126</v>
      </c>
      <c r="T127" s="19">
        <f t="shared" si="47"/>
        <v>304.12102116767215</v>
      </c>
      <c r="V127" s="19">
        <f t="shared" si="40"/>
        <v>64.956566390818708</v>
      </c>
      <c r="W127" s="19">
        <f t="shared" si="41"/>
        <v>5.4373149012565962</v>
      </c>
      <c r="X127" s="19">
        <f t="shared" si="48"/>
        <v>302.1988850987434</v>
      </c>
      <c r="Z127" s="19">
        <f t="shared" si="42"/>
        <v>192.27551803236921</v>
      </c>
      <c r="AA127" s="19">
        <f t="shared" si="43"/>
        <v>112.83954298761974</v>
      </c>
      <c r="AB127" s="19">
        <f t="shared" si="49"/>
        <v>194.79665701238025</v>
      </c>
    </row>
    <row r="128" spans="2:28" x14ac:dyDescent="0.3">
      <c r="B128" s="10">
        <v>3980.54</v>
      </c>
      <c r="C128" s="10">
        <v>344.72699999999998</v>
      </c>
      <c r="D128" s="10">
        <f t="shared" si="31"/>
        <v>310.2543</v>
      </c>
      <c r="E128" s="4"/>
      <c r="F128" s="19">
        <f t="shared" si="32"/>
        <v>41.755804546790152</v>
      </c>
      <c r="G128" s="19">
        <f t="shared" si="33"/>
        <v>1.9069994624236071</v>
      </c>
      <c r="H128" s="19">
        <f t="shared" si="44"/>
        <v>308.34730053757642</v>
      </c>
      <c r="J128" s="19">
        <f t="shared" si="34"/>
        <v>27.378111371581497</v>
      </c>
      <c r="K128" s="19">
        <f t="shared" si="35"/>
        <v>0.83227680565894091</v>
      </c>
      <c r="L128" s="19">
        <f t="shared" si="45"/>
        <v>309.42202319434108</v>
      </c>
      <c r="N128" s="19">
        <f t="shared" si="36"/>
        <v>41.465205339007099</v>
      </c>
      <c r="O128" s="19">
        <f t="shared" si="37"/>
        <v>1.8783214814104934</v>
      </c>
      <c r="P128" s="19">
        <f t="shared" si="46"/>
        <v>308.37597851858953</v>
      </c>
      <c r="R128" s="19">
        <f t="shared" si="38"/>
        <v>55.031841314017839</v>
      </c>
      <c r="S128" s="19">
        <f t="shared" si="39"/>
        <v>3.5997145386733829</v>
      </c>
      <c r="T128" s="19">
        <f t="shared" si="47"/>
        <v>306.65458546132663</v>
      </c>
      <c r="V128" s="19">
        <f t="shared" si="40"/>
        <v>65.597954846309278</v>
      </c>
      <c r="W128" s="19">
        <f t="shared" si="41"/>
        <v>5.5753930929505575</v>
      </c>
      <c r="X128" s="19">
        <f t="shared" si="48"/>
        <v>304.67890690704945</v>
      </c>
      <c r="Z128" s="19">
        <f t="shared" si="42"/>
        <v>194.17406816196561</v>
      </c>
      <c r="AA128" s="19">
        <f t="shared" si="43"/>
        <v>116.14245919965704</v>
      </c>
      <c r="AB128" s="19">
        <f t="shared" si="49"/>
        <v>194.11184080034297</v>
      </c>
    </row>
    <row r="129" spans="2:28" x14ac:dyDescent="0.3">
      <c r="B129" s="10">
        <v>4030.58</v>
      </c>
      <c r="C129" s="10">
        <v>349.09100000000001</v>
      </c>
      <c r="D129" s="10">
        <f t="shared" si="31"/>
        <v>314.18190000000004</v>
      </c>
      <c r="E129" s="4"/>
      <c r="F129" s="19">
        <f t="shared" si="32"/>
        <v>42.280723391851716</v>
      </c>
      <c r="G129" s="19">
        <f t="shared" si="33"/>
        <v>1.9596268294772992</v>
      </c>
      <c r="H129" s="19">
        <f t="shared" si="44"/>
        <v>312.22227317052273</v>
      </c>
      <c r="J129" s="19">
        <f t="shared" si="34"/>
        <v>27.722285954184343</v>
      </c>
      <c r="K129" s="19">
        <f t="shared" si="35"/>
        <v>0.85081644673887558</v>
      </c>
      <c r="L129" s="19">
        <f t="shared" si="45"/>
        <v>313.33108355326118</v>
      </c>
      <c r="N129" s="19">
        <f t="shared" si="36"/>
        <v>41.986471015313306</v>
      </c>
      <c r="O129" s="19">
        <f t="shared" si="37"/>
        <v>1.9299942313805718</v>
      </c>
      <c r="P129" s="19">
        <f t="shared" si="46"/>
        <v>312.25190576861945</v>
      </c>
      <c r="R129" s="19">
        <f t="shared" si="38"/>
        <v>55.723655324014835</v>
      </c>
      <c r="S129" s="19">
        <f t="shared" si="39"/>
        <v>3.7105634391316338</v>
      </c>
      <c r="T129" s="19">
        <f t="shared" si="47"/>
        <v>310.47133656086839</v>
      </c>
      <c r="V129" s="19">
        <f t="shared" si="40"/>
        <v>66.422597146225698</v>
      </c>
      <c r="W129" s="19">
        <f t="shared" si="41"/>
        <v>5.7565807524261654</v>
      </c>
      <c r="X129" s="19">
        <f t="shared" si="48"/>
        <v>308.4253192475739</v>
      </c>
      <c r="Z129" s="19">
        <f t="shared" si="42"/>
        <v>196.61506118573243</v>
      </c>
      <c r="AA129" s="19">
        <f t="shared" si="43"/>
        <v>120.4839540177486</v>
      </c>
      <c r="AB129" s="19">
        <f t="shared" si="49"/>
        <v>193.69794598225144</v>
      </c>
    </row>
    <row r="130" spans="2:28" x14ac:dyDescent="0.3">
      <c r="B130" s="10">
        <v>4069.5</v>
      </c>
      <c r="C130" s="10">
        <v>352</v>
      </c>
      <c r="D130" s="10">
        <f t="shared" si="31"/>
        <v>316.8</v>
      </c>
      <c r="E130" s="4"/>
      <c r="F130" s="19">
        <f t="shared" si="32"/>
        <v>42.688993604677378</v>
      </c>
      <c r="G130" s="19">
        <f t="shared" si="33"/>
        <v>2.0013009915957083</v>
      </c>
      <c r="H130" s="19">
        <f t="shared" si="44"/>
        <v>314.7986990084043</v>
      </c>
      <c r="J130" s="19">
        <f t="shared" si="34"/>
        <v>27.989977296208778</v>
      </c>
      <c r="K130" s="19">
        <f t="shared" si="35"/>
        <v>0.86544525433833452</v>
      </c>
      <c r="L130" s="19">
        <f t="shared" si="45"/>
        <v>315.93455474566167</v>
      </c>
      <c r="N130" s="19">
        <f t="shared" si="36"/>
        <v>42.391899874662585</v>
      </c>
      <c r="O130" s="19">
        <f t="shared" si="37"/>
        <v>1.9709105341415307</v>
      </c>
      <c r="P130" s="19">
        <f t="shared" si="46"/>
        <v>314.82908946585849</v>
      </c>
      <c r="R130" s="19">
        <f t="shared" si="38"/>
        <v>56.261732887345829</v>
      </c>
      <c r="S130" s="19">
        <f t="shared" si="39"/>
        <v>3.7984773308333546</v>
      </c>
      <c r="T130" s="19">
        <f t="shared" si="47"/>
        <v>313.00152266916666</v>
      </c>
      <c r="V130" s="19">
        <f t="shared" si="40"/>
        <v>67.06398560171624</v>
      </c>
      <c r="W130" s="19">
        <f t="shared" si="41"/>
        <v>5.9003804749339226</v>
      </c>
      <c r="X130" s="19">
        <f t="shared" si="48"/>
        <v>310.8996195250661</v>
      </c>
      <c r="Z130" s="19">
        <f t="shared" si="42"/>
        <v>198.51361131532886</v>
      </c>
      <c r="AA130" s="19">
        <f t="shared" si="43"/>
        <v>123.93526378218701</v>
      </c>
      <c r="AB130" s="19">
        <f t="shared" si="49"/>
        <v>192.864736217813</v>
      </c>
    </row>
    <row r="131" spans="2:28" x14ac:dyDescent="0.3">
      <c r="B131" s="10">
        <v>4108.42</v>
      </c>
      <c r="C131" s="10">
        <v>356.36399999999998</v>
      </c>
      <c r="D131" s="10">
        <f t="shared" si="31"/>
        <v>320.7276</v>
      </c>
      <c r="E131" s="4"/>
      <c r="F131" s="19">
        <f t="shared" si="32"/>
        <v>43.097263817503048</v>
      </c>
      <c r="G131" s="19">
        <f t="shared" si="33"/>
        <v>2.0436310690412078</v>
      </c>
      <c r="H131" s="19">
        <f t="shared" si="44"/>
        <v>318.68396893095877</v>
      </c>
      <c r="J131" s="19">
        <f t="shared" si="34"/>
        <v>28.257668638233216</v>
      </c>
      <c r="K131" s="19">
        <f t="shared" si="35"/>
        <v>0.88025894948831207</v>
      </c>
      <c r="L131" s="19">
        <f t="shared" si="45"/>
        <v>319.84734105051166</v>
      </c>
      <c r="N131" s="19">
        <f t="shared" si="36"/>
        <v>42.797328734011856</v>
      </c>
      <c r="O131" s="19">
        <f t="shared" si="37"/>
        <v>2.0124691528019847</v>
      </c>
      <c r="P131" s="19">
        <f t="shared" si="46"/>
        <v>318.715130847198</v>
      </c>
      <c r="R131" s="19">
        <f t="shared" si="38"/>
        <v>56.799810450676837</v>
      </c>
      <c r="S131" s="19">
        <f t="shared" si="39"/>
        <v>3.8878927709632003</v>
      </c>
      <c r="T131" s="19">
        <f t="shared" si="47"/>
        <v>316.83970722903678</v>
      </c>
      <c r="V131" s="19">
        <f t="shared" si="40"/>
        <v>67.705374057206782</v>
      </c>
      <c r="W131" s="19">
        <f t="shared" si="41"/>
        <v>6.0467233247997623</v>
      </c>
      <c r="X131" s="19">
        <f t="shared" si="48"/>
        <v>314.68087667520024</v>
      </c>
      <c r="Z131" s="19">
        <f t="shared" si="42"/>
        <v>200.41216144492526</v>
      </c>
      <c r="AA131" s="19">
        <f t="shared" si="43"/>
        <v>127.45253206632164</v>
      </c>
      <c r="AB131" s="19">
        <f t="shared" si="49"/>
        <v>193.27506793367837</v>
      </c>
    </row>
    <row r="132" spans="2:28" x14ac:dyDescent="0.3">
      <c r="B132" s="10">
        <v>4147.34</v>
      </c>
      <c r="C132" s="10">
        <v>358.54500000000002</v>
      </c>
      <c r="D132" s="10">
        <f t="shared" si="31"/>
        <v>322.69050000000004</v>
      </c>
      <c r="E132" s="4"/>
      <c r="F132" s="19">
        <f t="shared" si="32"/>
        <v>43.505534030328711</v>
      </c>
      <c r="G132" s="19">
        <f t="shared" si="33"/>
        <v>2.086623334875481</v>
      </c>
      <c r="H132" s="19">
        <f t="shared" si="44"/>
        <v>320.60387666512457</v>
      </c>
      <c r="J132" s="19">
        <f t="shared" si="34"/>
        <v>28.525359980257655</v>
      </c>
      <c r="K132" s="19">
        <f t="shared" si="35"/>
        <v>0.89525930042162927</v>
      </c>
      <c r="L132" s="19">
        <f t="shared" si="45"/>
        <v>321.79524069957841</v>
      </c>
      <c r="N132" s="19">
        <f t="shared" si="36"/>
        <v>43.202757593361127</v>
      </c>
      <c r="O132" s="19">
        <f t="shared" si="37"/>
        <v>2.0546762303610255</v>
      </c>
      <c r="P132" s="19">
        <f t="shared" si="46"/>
        <v>320.63582376963899</v>
      </c>
      <c r="R132" s="19">
        <f t="shared" si="38"/>
        <v>57.337888014007838</v>
      </c>
      <c r="S132" s="19">
        <f t="shared" si="39"/>
        <v>3.9788241200727903</v>
      </c>
      <c r="T132" s="19">
        <f t="shared" si="47"/>
        <v>318.71167587992727</v>
      </c>
      <c r="V132" s="19">
        <f t="shared" si="40"/>
        <v>68.346762512697353</v>
      </c>
      <c r="W132" s="19">
        <f t="shared" si="41"/>
        <v>6.195633624057546</v>
      </c>
      <c r="X132" s="19">
        <f t="shared" si="48"/>
        <v>316.49486637594248</v>
      </c>
      <c r="Z132" s="19">
        <f t="shared" si="42"/>
        <v>202.31071157452169</v>
      </c>
      <c r="AA132" s="19">
        <f t="shared" si="43"/>
        <v>131.03638968612171</v>
      </c>
      <c r="AB132" s="19">
        <f t="shared" si="49"/>
        <v>191.65411031387833</v>
      </c>
    </row>
    <row r="133" spans="2:28" x14ac:dyDescent="0.3">
      <c r="B133" s="10">
        <v>4197.38</v>
      </c>
      <c r="C133" s="10">
        <v>363.63600000000002</v>
      </c>
      <c r="D133" s="10">
        <f t="shared" si="31"/>
        <v>327.2724</v>
      </c>
      <c r="E133" s="4"/>
      <c r="F133" s="19">
        <f t="shared" si="32"/>
        <v>44.030452875390289</v>
      </c>
      <c r="G133" s="19">
        <f t="shared" si="33"/>
        <v>2.142882212166759</v>
      </c>
      <c r="H133" s="19">
        <f t="shared" si="44"/>
        <v>325.12951778783327</v>
      </c>
      <c r="J133" s="19">
        <f t="shared" si="34"/>
        <v>28.869534562860501</v>
      </c>
      <c r="K133" s="19">
        <f t="shared" si="35"/>
        <v>0.91482258129892735</v>
      </c>
      <c r="L133" s="19">
        <f t="shared" si="45"/>
        <v>326.35757741870106</v>
      </c>
      <c r="N133" s="19">
        <f t="shared" si="36"/>
        <v>43.724023269667342</v>
      </c>
      <c r="O133" s="19">
        <f t="shared" si="37"/>
        <v>2.1099051966115354</v>
      </c>
      <c r="P133" s="19">
        <f t="shared" si="46"/>
        <v>325.16249480338848</v>
      </c>
      <c r="R133" s="19">
        <f t="shared" si="38"/>
        <v>58.029702024004834</v>
      </c>
      <c r="S133" s="19">
        <f t="shared" si="39"/>
        <v>4.0979864235935315</v>
      </c>
      <c r="T133" s="19">
        <f t="shared" si="47"/>
        <v>323.17441357640649</v>
      </c>
      <c r="V133" s="19">
        <f t="shared" si="40"/>
        <v>69.171404812613773</v>
      </c>
      <c r="W133" s="19">
        <f t="shared" si="41"/>
        <v>6.3909014439669036</v>
      </c>
      <c r="X133" s="19">
        <f t="shared" si="48"/>
        <v>320.88149855603308</v>
      </c>
      <c r="Z133" s="19">
        <f t="shared" si="42"/>
        <v>204.75170459828848</v>
      </c>
      <c r="AA133" s="19">
        <f t="shared" si="43"/>
        <v>135.74306737102603</v>
      </c>
      <c r="AB133" s="19">
        <f t="shared" si="49"/>
        <v>191.52933262897398</v>
      </c>
    </row>
    <row r="134" spans="2:28" x14ac:dyDescent="0.3">
      <c r="B134" s="10">
        <v>4252.9799999999996</v>
      </c>
      <c r="C134" s="10">
        <v>368</v>
      </c>
      <c r="D134" s="10">
        <f t="shared" si="31"/>
        <v>331.2</v>
      </c>
      <c r="E134" s="4"/>
      <c r="F134" s="19">
        <f t="shared" si="32"/>
        <v>44.613696036569799</v>
      </c>
      <c r="G134" s="19">
        <f t="shared" si="33"/>
        <v>2.2067042885912276</v>
      </c>
      <c r="H134" s="19">
        <f t="shared" si="44"/>
        <v>328.99329571140873</v>
      </c>
      <c r="J134" s="19">
        <f t="shared" si="34"/>
        <v>29.25195076575255</v>
      </c>
      <c r="K134" s="19">
        <f t="shared" si="35"/>
        <v>0.93692944286153412</v>
      </c>
      <c r="L134" s="19">
        <f t="shared" si="45"/>
        <v>330.26307055713846</v>
      </c>
      <c r="N134" s="19">
        <f t="shared" si="36"/>
        <v>44.303207354452013</v>
      </c>
      <c r="O134" s="19">
        <f t="shared" si="37"/>
        <v>2.1725557206574142</v>
      </c>
      <c r="P134" s="19">
        <f t="shared" si="46"/>
        <v>329.02744427934255</v>
      </c>
      <c r="R134" s="19">
        <f t="shared" si="38"/>
        <v>58.798384257334831</v>
      </c>
      <c r="S134" s="19">
        <f t="shared" si="39"/>
        <v>4.2333929546668392</v>
      </c>
      <c r="T134" s="19">
        <f t="shared" si="47"/>
        <v>326.96660704533315</v>
      </c>
      <c r="V134" s="19">
        <f t="shared" si="40"/>
        <v>70.087674034743131</v>
      </c>
      <c r="W134" s="19">
        <f t="shared" si="41"/>
        <v>6.6129534245638153</v>
      </c>
      <c r="X134" s="19">
        <f t="shared" si="48"/>
        <v>324.58704657543615</v>
      </c>
      <c r="Z134" s="19">
        <f t="shared" si="42"/>
        <v>207.4639190691405</v>
      </c>
      <c r="AA134" s="19">
        <f t="shared" si="43"/>
        <v>141.10466470766005</v>
      </c>
      <c r="AB134" s="19">
        <f t="shared" si="49"/>
        <v>190.09533529233994</v>
      </c>
    </row>
    <row r="135" spans="2:28" x14ac:dyDescent="0.3">
      <c r="B135" s="10">
        <v>4291.8999999999996</v>
      </c>
      <c r="C135" s="10">
        <v>371.63600000000002</v>
      </c>
      <c r="D135" s="10">
        <f t="shared" si="31"/>
        <v>334.47240000000005</v>
      </c>
      <c r="E135" s="4"/>
      <c r="F135" s="19">
        <f t="shared" si="32"/>
        <v>45.021966249395469</v>
      </c>
      <c r="G135" s="19">
        <f t="shared" si="33"/>
        <v>2.2522110325932618</v>
      </c>
      <c r="H135" s="19">
        <f t="shared" si="44"/>
        <v>332.22018896740678</v>
      </c>
      <c r="J135" s="19">
        <f t="shared" si="34"/>
        <v>29.519642107776985</v>
      </c>
      <c r="K135" s="19">
        <f t="shared" si="35"/>
        <v>0.95263856776318012</v>
      </c>
      <c r="L135" s="19">
        <f t="shared" si="45"/>
        <v>333.51976143223686</v>
      </c>
      <c r="N135" s="19">
        <f t="shared" si="36"/>
        <v>44.708636213801284</v>
      </c>
      <c r="O135" s="19">
        <f t="shared" si="37"/>
        <v>2.2172251424236755</v>
      </c>
      <c r="P135" s="19">
        <f t="shared" si="46"/>
        <v>332.25517485757638</v>
      </c>
      <c r="R135" s="19">
        <f t="shared" si="38"/>
        <v>59.336461820665825</v>
      </c>
      <c r="S135" s="19">
        <f t="shared" si="39"/>
        <v>4.3300805509388534</v>
      </c>
      <c r="T135" s="19">
        <f t="shared" si="47"/>
        <v>330.14231944906118</v>
      </c>
      <c r="V135" s="19">
        <f t="shared" si="40"/>
        <v>70.729062490233673</v>
      </c>
      <c r="W135" s="19">
        <f t="shared" si="41"/>
        <v>6.7716129063084809</v>
      </c>
      <c r="X135" s="19">
        <f t="shared" si="48"/>
        <v>327.70078709369159</v>
      </c>
      <c r="Z135" s="19">
        <f t="shared" si="42"/>
        <v>209.3624691987369</v>
      </c>
      <c r="AA135" s="19">
        <f t="shared" si="43"/>
        <v>144.94137700382512</v>
      </c>
      <c r="AB135" s="19">
        <f t="shared" si="49"/>
        <v>189.53102299617493</v>
      </c>
    </row>
    <row r="136" spans="2:28" x14ac:dyDescent="0.3">
      <c r="B136" s="10">
        <v>4330.82</v>
      </c>
      <c r="C136" s="10">
        <v>375.27300000000002</v>
      </c>
      <c r="D136" s="10">
        <f t="shared" si="31"/>
        <v>337.74570000000006</v>
      </c>
      <c r="E136" s="4"/>
      <c r="F136" s="19">
        <f t="shared" si="32"/>
        <v>45.430236462221131</v>
      </c>
      <c r="G136" s="19">
        <f t="shared" si="33"/>
        <v>2.2984095379891598</v>
      </c>
      <c r="H136" s="19">
        <f t="shared" si="44"/>
        <v>335.44729046201087</v>
      </c>
      <c r="J136" s="19">
        <f t="shared" si="34"/>
        <v>29.787333449801427</v>
      </c>
      <c r="K136" s="19">
        <f t="shared" si="35"/>
        <v>0.96854268440289459</v>
      </c>
      <c r="L136" s="19">
        <f t="shared" si="45"/>
        <v>336.77715731559715</v>
      </c>
      <c r="N136" s="19">
        <f t="shared" si="36"/>
        <v>45.114065073150563</v>
      </c>
      <c r="O136" s="19">
        <f t="shared" si="37"/>
        <v>2.2625719829413922</v>
      </c>
      <c r="P136" s="19">
        <f t="shared" si="46"/>
        <v>335.48312801705868</v>
      </c>
      <c r="R136" s="19">
        <f t="shared" si="38"/>
        <v>59.874539383996826</v>
      </c>
      <c r="S136" s="19">
        <f t="shared" si="39"/>
        <v>4.4283517559339716</v>
      </c>
      <c r="T136" s="19">
        <f t="shared" si="47"/>
        <v>333.31734824406607</v>
      </c>
      <c r="V136" s="19">
        <f t="shared" si="40"/>
        <v>71.37045094572423</v>
      </c>
      <c r="W136" s="19">
        <f t="shared" si="41"/>
        <v>6.9329544984618465</v>
      </c>
      <c r="X136" s="19">
        <f t="shared" si="48"/>
        <v>330.81274550153819</v>
      </c>
      <c r="Z136" s="19">
        <f t="shared" si="42"/>
        <v>211.26101932833333</v>
      </c>
      <c r="AA136" s="19">
        <f t="shared" si="43"/>
        <v>148.84765248236758</v>
      </c>
      <c r="AB136" s="19">
        <f t="shared" si="49"/>
        <v>188.89804751763248</v>
      </c>
    </row>
    <row r="137" spans="2:28" x14ac:dyDescent="0.3">
      <c r="B137" s="10">
        <v>4375.3</v>
      </c>
      <c r="C137" s="10">
        <v>378.90899999999999</v>
      </c>
      <c r="D137" s="10">
        <f t="shared" si="31"/>
        <v>341.0181</v>
      </c>
      <c r="E137" s="4"/>
      <c r="F137" s="19">
        <f t="shared" si="32"/>
        <v>45.896830991164748</v>
      </c>
      <c r="G137" s="19">
        <f t="shared" si="33"/>
        <v>2.3520629317144004</v>
      </c>
      <c r="H137" s="19">
        <f t="shared" si="44"/>
        <v>338.66603706828562</v>
      </c>
      <c r="J137" s="19">
        <f t="shared" si="34"/>
        <v>30.093266412115071</v>
      </c>
      <c r="K137" s="19">
        <f t="shared" si="35"/>
        <v>0.98695985138597941</v>
      </c>
      <c r="L137" s="19">
        <f t="shared" si="45"/>
        <v>340.03114014861404</v>
      </c>
      <c r="N137" s="19">
        <f t="shared" si="36"/>
        <v>45.577412340978299</v>
      </c>
      <c r="O137" s="19">
        <f t="shared" si="37"/>
        <v>2.3152343161138589</v>
      </c>
      <c r="P137" s="19">
        <f t="shared" si="46"/>
        <v>338.70286568388616</v>
      </c>
      <c r="R137" s="19">
        <f t="shared" si="38"/>
        <v>60.489485170660828</v>
      </c>
      <c r="S137" s="19">
        <f t="shared" si="39"/>
        <v>4.5426192389208557</v>
      </c>
      <c r="T137" s="19">
        <f t="shared" si="47"/>
        <v>336.47548076107915</v>
      </c>
      <c r="V137" s="19">
        <f t="shared" si="40"/>
        <v>72.10346632342771</v>
      </c>
      <c r="W137" s="19">
        <f t="shared" si="41"/>
        <v>7.120660306597892</v>
      </c>
      <c r="X137" s="19">
        <f t="shared" si="48"/>
        <v>333.89743969340213</v>
      </c>
      <c r="Z137" s="19">
        <f t="shared" si="42"/>
        <v>213.43079090501496</v>
      </c>
      <c r="AA137" s="19">
        <f t="shared" si="43"/>
        <v>153.3979559319697</v>
      </c>
      <c r="AB137" s="19">
        <f t="shared" si="49"/>
        <v>187.6201440680303</v>
      </c>
    </row>
    <row r="138" spans="2:28" x14ac:dyDescent="0.3">
      <c r="B138" s="10">
        <v>4425.34</v>
      </c>
      <c r="C138" s="10">
        <v>383.27300000000002</v>
      </c>
      <c r="D138" s="10">
        <f t="shared" si="31"/>
        <v>344.94570000000004</v>
      </c>
      <c r="E138" s="4"/>
      <c r="F138" s="19">
        <f t="shared" si="32"/>
        <v>46.421749836226326</v>
      </c>
      <c r="G138" s="19">
        <f t="shared" si="33"/>
        <v>2.4135244472581308</v>
      </c>
      <c r="H138" s="19">
        <f t="shared" si="44"/>
        <v>342.53217555274193</v>
      </c>
      <c r="J138" s="19">
        <f t="shared" si="34"/>
        <v>30.43744099471791</v>
      </c>
      <c r="K138" s="19">
        <f t="shared" si="35"/>
        <v>1.0079896371656665</v>
      </c>
      <c r="L138" s="19">
        <f t="shared" si="45"/>
        <v>343.93771036283437</v>
      </c>
      <c r="N138" s="19">
        <f t="shared" si="36"/>
        <v>46.09867801728452</v>
      </c>
      <c r="O138" s="19">
        <f t="shared" si="37"/>
        <v>2.375558051659822</v>
      </c>
      <c r="P138" s="19">
        <f t="shared" si="46"/>
        <v>342.57014194834022</v>
      </c>
      <c r="R138" s="19">
        <f t="shared" si="38"/>
        <v>61.181299180657824</v>
      </c>
      <c r="S138" s="19">
        <f t="shared" si="39"/>
        <v>4.6736916365763568</v>
      </c>
      <c r="T138" s="19">
        <f t="shared" si="47"/>
        <v>340.27200836342371</v>
      </c>
      <c r="V138" s="19">
        <f t="shared" si="40"/>
        <v>72.92810862334413</v>
      </c>
      <c r="W138" s="19">
        <f t="shared" si="41"/>
        <v>7.3360998943065319</v>
      </c>
      <c r="X138" s="19">
        <f t="shared" si="48"/>
        <v>337.60960010569352</v>
      </c>
      <c r="Z138" s="19">
        <f t="shared" si="42"/>
        <v>215.87178392878175</v>
      </c>
      <c r="AA138" s="19">
        <f t="shared" si="43"/>
        <v>158.62780833695538</v>
      </c>
      <c r="AB138" s="19">
        <f t="shared" si="49"/>
        <v>186.31789166304466</v>
      </c>
    </row>
    <row r="139" spans="2:28" x14ac:dyDescent="0.3">
      <c r="B139" s="10">
        <v>4458.7</v>
      </c>
      <c r="C139" s="10">
        <v>386.18200000000002</v>
      </c>
      <c r="D139" s="10">
        <f t="shared" si="31"/>
        <v>347.56380000000001</v>
      </c>
      <c r="E139" s="4"/>
      <c r="F139" s="19">
        <f t="shared" si="32"/>
        <v>46.771695732934035</v>
      </c>
      <c r="G139" s="19">
        <f t="shared" si="33"/>
        <v>2.4551530109478632</v>
      </c>
      <c r="H139" s="19">
        <f t="shared" si="44"/>
        <v>345.10864698905215</v>
      </c>
      <c r="J139" s="19">
        <f t="shared" si="34"/>
        <v>30.666890716453143</v>
      </c>
      <c r="K139" s="19">
        <f t="shared" si="35"/>
        <v>1.0221939040269397</v>
      </c>
      <c r="L139" s="19">
        <f t="shared" si="45"/>
        <v>346.54160609597307</v>
      </c>
      <c r="N139" s="19">
        <f t="shared" si="36"/>
        <v>46.446188468155313</v>
      </c>
      <c r="O139" s="19">
        <f t="shared" si="37"/>
        <v>2.4164145310736571</v>
      </c>
      <c r="P139" s="19">
        <f t="shared" si="46"/>
        <v>345.14738546892636</v>
      </c>
      <c r="R139" s="19">
        <f t="shared" si="38"/>
        <v>61.642508520655831</v>
      </c>
      <c r="S139" s="19">
        <f t="shared" si="39"/>
        <v>4.7625709024148293</v>
      </c>
      <c r="T139" s="19">
        <f t="shared" si="47"/>
        <v>342.80122909758518</v>
      </c>
      <c r="V139" s="19">
        <f t="shared" si="40"/>
        <v>73.477870156621748</v>
      </c>
      <c r="W139" s="19">
        <f t="shared" si="41"/>
        <v>7.4822628402924067</v>
      </c>
      <c r="X139" s="19">
        <f t="shared" si="48"/>
        <v>340.08153715970764</v>
      </c>
      <c r="Z139" s="19">
        <f t="shared" si="42"/>
        <v>217.49911261129293</v>
      </c>
      <c r="AA139" s="19">
        <f t="shared" si="43"/>
        <v>162.18016464477938</v>
      </c>
      <c r="AB139" s="19">
        <f t="shared" si="49"/>
        <v>185.38363535522063</v>
      </c>
    </row>
    <row r="140" spans="2:28" x14ac:dyDescent="0.3">
      <c r="B140" s="10">
        <v>4503.18</v>
      </c>
      <c r="C140" s="10">
        <v>390.54500000000002</v>
      </c>
      <c r="D140" s="10">
        <f t="shared" si="31"/>
        <v>351.4905</v>
      </c>
      <c r="E140" s="4"/>
      <c r="F140" s="19">
        <f t="shared" si="32"/>
        <v>47.238290261877658</v>
      </c>
      <c r="G140" s="19">
        <f t="shared" si="33"/>
        <v>2.5114797549666243</v>
      </c>
      <c r="H140" s="19">
        <f t="shared" ref="H140:H171" si="50">$D140-G140</f>
        <v>348.97902024503338</v>
      </c>
      <c r="J140" s="19">
        <f t="shared" si="34"/>
        <v>30.972823678766794</v>
      </c>
      <c r="K140" s="19">
        <f t="shared" si="35"/>
        <v>1.0413646274021886</v>
      </c>
      <c r="L140" s="19">
        <f t="shared" ref="L140:L171" si="51">$D140-K140</f>
        <v>350.44913537259782</v>
      </c>
      <c r="N140" s="19">
        <f t="shared" si="36"/>
        <v>46.909535735983063</v>
      </c>
      <c r="O140" s="19">
        <f t="shared" si="37"/>
        <v>2.4716947866021517</v>
      </c>
      <c r="P140" s="19">
        <f t="shared" ref="P140:P171" si="52">$D140-O140</f>
        <v>349.01880521339785</v>
      </c>
      <c r="R140" s="19">
        <f t="shared" si="38"/>
        <v>62.257454307319833</v>
      </c>
      <c r="S140" s="19">
        <f t="shared" si="39"/>
        <v>4.882958329189079</v>
      </c>
      <c r="T140" s="19">
        <f t="shared" ref="T140:T171" si="53">$D140-S140</f>
        <v>346.60754167081092</v>
      </c>
      <c r="V140" s="19">
        <f t="shared" si="40"/>
        <v>74.210885534325243</v>
      </c>
      <c r="W140" s="19">
        <f t="shared" si="41"/>
        <v>7.6803338129373726</v>
      </c>
      <c r="X140" s="19">
        <f t="shared" ref="X140:X171" si="54">$D140-W140</f>
        <v>343.81016618706263</v>
      </c>
      <c r="Z140" s="19">
        <f t="shared" si="42"/>
        <v>219.66888418797458</v>
      </c>
      <c r="AA140" s="19">
        <f t="shared" si="43"/>
        <v>166.99929887284904</v>
      </c>
      <c r="AB140" s="19">
        <f t="shared" ref="AB140:AB171" si="55">$D140-AA140</f>
        <v>184.49120112715096</v>
      </c>
    </row>
    <row r="141" spans="2:28" x14ac:dyDescent="0.3">
      <c r="B141" s="10">
        <v>4542.1000000000004</v>
      </c>
      <c r="C141" s="10">
        <v>393.45499999999998</v>
      </c>
      <c r="D141" s="10">
        <f t="shared" ref="D141:D201" si="56">C141*$C$3</f>
        <v>354.10949999999997</v>
      </c>
      <c r="E141" s="4"/>
      <c r="F141" s="19">
        <f t="shared" ref="F141:F201" si="57">0.3268*$H$10*$C$4*2*PI()*$B141/60*3.6</f>
        <v>47.646560474703328</v>
      </c>
      <c r="G141" s="19">
        <f t="shared" ref="G141:G201" si="58">(50*F141/3.6+0.5272*(F141/3.6)^3)/1000/0.7355</f>
        <v>2.5615429950259814</v>
      </c>
      <c r="H141" s="19">
        <f t="shared" si="50"/>
        <v>351.54795700497397</v>
      </c>
      <c r="J141" s="19">
        <f t="shared" ref="J141:J201" si="59">0.3268*$L$10*$C$4*2*PI()*$B141/60*3.6</f>
        <v>31.240515020791229</v>
      </c>
      <c r="K141" s="19">
        <f t="shared" ref="K141:K201" si="60">(50*J141/3.6+0.5272*(J141/3.6)^3)/1000/0.7355</f>
        <v>1.0583581244784002</v>
      </c>
      <c r="L141" s="19">
        <f t="shared" si="51"/>
        <v>353.05114187552158</v>
      </c>
      <c r="N141" s="19">
        <f t="shared" ref="N141:N201" si="61">0.3268*$P$10*$C$4*2*PI()*$B141/60*3.6</f>
        <v>47.314964595332334</v>
      </c>
      <c r="O141" s="19">
        <f t="shared" ref="O141:O201" si="62">(50*N141/3.6+0.5272*(N141/3.6)^3)/1000/0.7355</f>
        <v>2.520826232264993</v>
      </c>
      <c r="P141" s="19">
        <f t="shared" si="52"/>
        <v>351.58867376773497</v>
      </c>
      <c r="R141" s="19">
        <f t="shared" ref="R141:R201" si="63">0.3268*$T$10*$C$4*2*PI()*$B141/60*3.6</f>
        <v>62.795531870650819</v>
      </c>
      <c r="S141" s="19">
        <f t="shared" ref="S141:S201" si="64">(50*R141/3.6+0.5272*(R141/3.6)^3)/1000/0.7355</f>
        <v>4.9900768442246246</v>
      </c>
      <c r="T141" s="19">
        <f t="shared" si="53"/>
        <v>349.11942315577534</v>
      </c>
      <c r="V141" s="19">
        <f t="shared" ref="V141:V201" si="65">0.3268*$X$10*$C$4*2*PI()*$B141/60*3.6</f>
        <v>74.852273989815799</v>
      </c>
      <c r="W141" s="19">
        <f t="shared" ref="W141:W201" si="66">(50*V141/3.6+0.5272*(V141/3.6)^3)/1000/0.7355</f>
        <v>7.8566598276960073</v>
      </c>
      <c r="X141" s="19">
        <f t="shared" si="54"/>
        <v>346.25284017230393</v>
      </c>
      <c r="Z141" s="19">
        <f t="shared" ref="Z141:Z201" si="67">0.3268*$AB$10*$C$4*2*PI()*$B141/60*3.6</f>
        <v>221.56743431757101</v>
      </c>
      <c r="AA141" s="19">
        <f t="shared" ref="AA141:AA201" si="68">(50*Z141/3.6+0.5272*(Z141/3.6)^3)/1000/0.7355</f>
        <v>171.29421015069772</v>
      </c>
      <c r="AB141" s="19">
        <f t="shared" si="55"/>
        <v>182.81528984930225</v>
      </c>
    </row>
    <row r="142" spans="2:28" x14ac:dyDescent="0.3">
      <c r="B142" s="10">
        <v>4575.46</v>
      </c>
      <c r="C142" s="10">
        <v>397.09100000000001</v>
      </c>
      <c r="D142" s="10">
        <f t="shared" si="56"/>
        <v>357.38190000000003</v>
      </c>
      <c r="E142" s="4"/>
      <c r="F142" s="19">
        <f t="shared" si="57"/>
        <v>47.99650637141103</v>
      </c>
      <c r="G142" s="19">
        <f t="shared" si="58"/>
        <v>2.6050367883537731</v>
      </c>
      <c r="H142" s="19">
        <f t="shared" si="50"/>
        <v>354.77686321164623</v>
      </c>
      <c r="J142" s="19">
        <f t="shared" si="59"/>
        <v>31.469964742526454</v>
      </c>
      <c r="K142" s="19">
        <f t="shared" si="60"/>
        <v>1.0730881569754072</v>
      </c>
      <c r="L142" s="19">
        <f t="shared" si="51"/>
        <v>356.30881184302461</v>
      </c>
      <c r="N142" s="19">
        <f t="shared" si="61"/>
        <v>47.662475046203134</v>
      </c>
      <c r="O142" s="19">
        <f t="shared" si="62"/>
        <v>2.563509268557826</v>
      </c>
      <c r="P142" s="19">
        <f t="shared" si="52"/>
        <v>354.81839073144221</v>
      </c>
      <c r="R142" s="19">
        <f t="shared" si="63"/>
        <v>63.256741210648819</v>
      </c>
      <c r="S142" s="19">
        <f t="shared" si="64"/>
        <v>5.0832260707050354</v>
      </c>
      <c r="T142" s="19">
        <f t="shared" si="53"/>
        <v>352.29867392929498</v>
      </c>
      <c r="V142" s="19">
        <f t="shared" si="65"/>
        <v>75.402035523093403</v>
      </c>
      <c r="W142" s="19">
        <f t="shared" si="66"/>
        <v>8.010054677444078</v>
      </c>
      <c r="X142" s="19">
        <f t="shared" si="54"/>
        <v>349.37184532255594</v>
      </c>
      <c r="Z142" s="19">
        <f t="shared" si="67"/>
        <v>223.19476300008219</v>
      </c>
      <c r="AA142" s="19">
        <f t="shared" si="68"/>
        <v>175.03413302502656</v>
      </c>
      <c r="AB142" s="19">
        <f t="shared" si="55"/>
        <v>182.34776697497347</v>
      </c>
    </row>
    <row r="143" spans="2:28" x14ac:dyDescent="0.3">
      <c r="B143" s="10">
        <v>4608.82</v>
      </c>
      <c r="C143" s="10">
        <v>400</v>
      </c>
      <c r="D143" s="10">
        <f t="shared" si="56"/>
        <v>360</v>
      </c>
      <c r="E143" s="4"/>
      <c r="F143" s="19">
        <f t="shared" si="57"/>
        <v>48.346452268118739</v>
      </c>
      <c r="G143" s="19">
        <f t="shared" si="58"/>
        <v>2.6490723927967514</v>
      </c>
      <c r="H143" s="19">
        <f t="shared" si="50"/>
        <v>357.35092760720323</v>
      </c>
      <c r="J143" s="19">
        <f t="shared" si="59"/>
        <v>31.699414464261693</v>
      </c>
      <c r="K143" s="19">
        <f t="shared" si="60"/>
        <v>1.0879709136515789</v>
      </c>
      <c r="L143" s="19">
        <f t="shared" si="51"/>
        <v>358.91202908634841</v>
      </c>
      <c r="N143" s="19">
        <f t="shared" si="61"/>
        <v>48.009985497073941</v>
      </c>
      <c r="O143" s="19">
        <f t="shared" si="62"/>
        <v>2.6067228823191755</v>
      </c>
      <c r="P143" s="19">
        <f t="shared" si="52"/>
        <v>357.39327711768084</v>
      </c>
      <c r="R143" s="19">
        <f t="shared" si="63"/>
        <v>63.717950550646812</v>
      </c>
      <c r="S143" s="19">
        <f t="shared" si="64"/>
        <v>5.1776156335440433</v>
      </c>
      <c r="T143" s="19">
        <f t="shared" si="53"/>
        <v>354.82238436645594</v>
      </c>
      <c r="V143" s="19">
        <f t="shared" si="65"/>
        <v>75.951797056371007</v>
      </c>
      <c r="W143" s="19">
        <f t="shared" si="66"/>
        <v>8.1655502475336927</v>
      </c>
      <c r="X143" s="19">
        <f t="shared" si="54"/>
        <v>351.8344497524663</v>
      </c>
      <c r="Z143" s="19">
        <f t="shared" si="67"/>
        <v>224.8220916825934</v>
      </c>
      <c r="AA143" s="19">
        <f t="shared" si="68"/>
        <v>178.82854015614402</v>
      </c>
      <c r="AB143" s="19">
        <f t="shared" si="55"/>
        <v>181.17145984385598</v>
      </c>
    </row>
    <row r="144" spans="2:28" x14ac:dyDescent="0.3">
      <c r="B144" s="10">
        <v>4642.18</v>
      </c>
      <c r="C144" s="10">
        <v>402.90899999999999</v>
      </c>
      <c r="D144" s="10">
        <f t="shared" si="56"/>
        <v>362.61810000000003</v>
      </c>
      <c r="E144" s="4"/>
      <c r="F144" s="19">
        <f t="shared" si="57"/>
        <v>48.696398164826455</v>
      </c>
      <c r="G144" s="19">
        <f t="shared" si="58"/>
        <v>2.6936537587377871</v>
      </c>
      <c r="H144" s="19">
        <f t="shared" si="50"/>
        <v>359.92444624126222</v>
      </c>
      <c r="J144" s="19">
        <f t="shared" si="59"/>
        <v>31.928864185996922</v>
      </c>
      <c r="K144" s="19">
        <f t="shared" si="60"/>
        <v>1.1030075080296229</v>
      </c>
      <c r="L144" s="19">
        <f t="shared" si="51"/>
        <v>361.51509249197039</v>
      </c>
      <c r="N144" s="19">
        <f t="shared" si="61"/>
        <v>48.357495947944749</v>
      </c>
      <c r="O144" s="19">
        <f t="shared" si="62"/>
        <v>2.6504709420266037</v>
      </c>
      <c r="P144" s="19">
        <f t="shared" si="52"/>
        <v>359.9676290579734</v>
      </c>
      <c r="R144" s="19">
        <f t="shared" si="63"/>
        <v>64.179159890644826</v>
      </c>
      <c r="S144" s="19">
        <f t="shared" si="64"/>
        <v>5.2732545761210954</v>
      </c>
      <c r="T144" s="19">
        <f t="shared" si="53"/>
        <v>357.34484542387895</v>
      </c>
      <c r="V144" s="19">
        <f t="shared" si="65"/>
        <v>76.501558589648624</v>
      </c>
      <c r="W144" s="19">
        <f t="shared" si="66"/>
        <v>8.3231618544643098</v>
      </c>
      <c r="X144" s="19">
        <f t="shared" si="54"/>
        <v>354.2949381455357</v>
      </c>
      <c r="Z144" s="19">
        <f t="shared" si="67"/>
        <v>226.44942036510463</v>
      </c>
      <c r="AA144" s="19">
        <f t="shared" si="68"/>
        <v>182.67782879259059</v>
      </c>
      <c r="AB144" s="19">
        <f t="shared" si="55"/>
        <v>179.94027120740944</v>
      </c>
    </row>
    <row r="145" spans="2:28" x14ac:dyDescent="0.3">
      <c r="B145" s="10">
        <v>4681.1000000000004</v>
      </c>
      <c r="C145" s="10">
        <v>405.81799999999998</v>
      </c>
      <c r="D145" s="10">
        <f t="shared" si="56"/>
        <v>365.2362</v>
      </c>
      <c r="E145" s="4"/>
      <c r="F145" s="19">
        <f t="shared" si="57"/>
        <v>49.104668377652118</v>
      </c>
      <c r="G145" s="19">
        <f t="shared" si="58"/>
        <v>2.7463604044543315</v>
      </c>
      <c r="H145" s="19">
        <f t="shared" si="50"/>
        <v>362.48983959554567</v>
      </c>
      <c r="J145" s="19">
        <f t="shared" si="59"/>
        <v>32.196555528021356</v>
      </c>
      <c r="K145" s="19">
        <f t="shared" si="60"/>
        <v>1.1207461207889096</v>
      </c>
      <c r="L145" s="19">
        <f t="shared" si="51"/>
        <v>364.11545387921109</v>
      </c>
      <c r="N145" s="19">
        <f t="shared" si="61"/>
        <v>48.76292480729402</v>
      </c>
      <c r="O145" s="19">
        <f t="shared" si="62"/>
        <v>2.7021909862665834</v>
      </c>
      <c r="P145" s="19">
        <f t="shared" si="52"/>
        <v>362.5340090137334</v>
      </c>
      <c r="R145" s="19">
        <f t="shared" si="63"/>
        <v>64.717237453975827</v>
      </c>
      <c r="S145" s="19">
        <f t="shared" si="64"/>
        <v>5.3864244844470761</v>
      </c>
      <c r="T145" s="19">
        <f t="shared" si="53"/>
        <v>359.84977551555289</v>
      </c>
      <c r="V145" s="19">
        <f t="shared" si="65"/>
        <v>77.142947045139195</v>
      </c>
      <c r="W145" s="19">
        <f t="shared" si="66"/>
        <v>8.5097369318194094</v>
      </c>
      <c r="X145" s="19">
        <f t="shared" si="54"/>
        <v>356.72646306818058</v>
      </c>
      <c r="Z145" s="19">
        <f t="shared" si="67"/>
        <v>228.34797049470106</v>
      </c>
      <c r="AA145" s="19">
        <f t="shared" si="68"/>
        <v>187.2385596311417</v>
      </c>
      <c r="AB145" s="19">
        <f t="shared" si="55"/>
        <v>177.9976403688583</v>
      </c>
    </row>
    <row r="146" spans="2:28" x14ac:dyDescent="0.3">
      <c r="B146" s="10">
        <v>4708.8999999999996</v>
      </c>
      <c r="C146" s="10">
        <v>409.45499999999998</v>
      </c>
      <c r="D146" s="10">
        <f t="shared" si="56"/>
        <v>368.5095</v>
      </c>
      <c r="E146" s="4"/>
      <c r="F146" s="19">
        <f t="shared" si="57"/>
        <v>49.39628995824188</v>
      </c>
      <c r="G146" s="19">
        <f t="shared" si="58"/>
        <v>2.7844695766455025</v>
      </c>
      <c r="H146" s="19">
        <f t="shared" si="50"/>
        <v>365.7250304233545</v>
      </c>
      <c r="J146" s="19">
        <f t="shared" si="59"/>
        <v>32.387763629467386</v>
      </c>
      <c r="K146" s="19">
        <f t="shared" si="60"/>
        <v>1.1335466639821687</v>
      </c>
      <c r="L146" s="19">
        <f t="shared" si="51"/>
        <v>367.37595333601786</v>
      </c>
      <c r="N146" s="19">
        <f t="shared" si="61"/>
        <v>49.052516849686356</v>
      </c>
      <c r="O146" s="19">
        <f t="shared" si="62"/>
        <v>2.7395858731899461</v>
      </c>
      <c r="P146" s="19">
        <f t="shared" si="52"/>
        <v>365.76991412681008</v>
      </c>
      <c r="R146" s="19">
        <f t="shared" si="63"/>
        <v>65.101578570640825</v>
      </c>
      <c r="S146" s="19">
        <f t="shared" si="64"/>
        <v>5.4683167740071044</v>
      </c>
      <c r="T146" s="19">
        <f t="shared" si="53"/>
        <v>363.04118322599288</v>
      </c>
      <c r="V146" s="19">
        <f t="shared" si="65"/>
        <v>77.60108165620386</v>
      </c>
      <c r="W146" s="19">
        <f t="shared" si="66"/>
        <v>8.644794444846351</v>
      </c>
      <c r="X146" s="19">
        <f t="shared" si="54"/>
        <v>359.86470555515365</v>
      </c>
      <c r="Z146" s="19">
        <f t="shared" si="67"/>
        <v>229.70407773012701</v>
      </c>
      <c r="AA146" s="19">
        <f t="shared" si="68"/>
        <v>190.54263957563165</v>
      </c>
      <c r="AB146" s="19">
        <f t="shared" si="55"/>
        <v>177.96686042436835</v>
      </c>
    </row>
    <row r="147" spans="2:28" x14ac:dyDescent="0.3">
      <c r="B147" s="10">
        <v>4753.38</v>
      </c>
      <c r="C147" s="10">
        <v>412.36399999999998</v>
      </c>
      <c r="D147" s="10">
        <f t="shared" si="56"/>
        <v>371.12759999999997</v>
      </c>
      <c r="E147" s="4"/>
      <c r="F147" s="19">
        <f t="shared" si="57"/>
        <v>49.862884487185504</v>
      </c>
      <c r="G147" s="19">
        <f t="shared" si="58"/>
        <v>2.8462506436590989</v>
      </c>
      <c r="H147" s="19">
        <f t="shared" si="50"/>
        <v>368.28134935634085</v>
      </c>
      <c r="J147" s="19">
        <f t="shared" si="59"/>
        <v>32.693696591781034</v>
      </c>
      <c r="K147" s="19">
        <f t="shared" si="60"/>
        <v>1.1542548364405578</v>
      </c>
      <c r="L147" s="19">
        <f t="shared" si="51"/>
        <v>369.97334516355943</v>
      </c>
      <c r="N147" s="19">
        <f t="shared" si="61"/>
        <v>49.515864117514099</v>
      </c>
      <c r="O147" s="19">
        <f t="shared" si="62"/>
        <v>2.8002073644479228</v>
      </c>
      <c r="P147" s="19">
        <f t="shared" si="52"/>
        <v>368.32739263555203</v>
      </c>
      <c r="R147" s="19">
        <f t="shared" si="63"/>
        <v>65.71652435730482</v>
      </c>
      <c r="S147" s="19">
        <f t="shared" si="64"/>
        <v>5.6011904620122293</v>
      </c>
      <c r="T147" s="19">
        <f t="shared" si="53"/>
        <v>365.52640953798772</v>
      </c>
      <c r="V147" s="19">
        <f t="shared" si="65"/>
        <v>78.334097033907355</v>
      </c>
      <c r="W147" s="19">
        <f t="shared" si="66"/>
        <v>8.8640130221517524</v>
      </c>
      <c r="X147" s="19">
        <f t="shared" si="54"/>
        <v>362.26358697784821</v>
      </c>
      <c r="Z147" s="19">
        <f t="shared" si="67"/>
        <v>231.87384930680867</v>
      </c>
      <c r="AA147" s="19">
        <f t="shared" si="68"/>
        <v>195.91025781654065</v>
      </c>
      <c r="AB147" s="19">
        <f t="shared" si="55"/>
        <v>175.21734218345932</v>
      </c>
    </row>
    <row r="148" spans="2:28" x14ac:dyDescent="0.3">
      <c r="B148" s="10">
        <v>4781.18</v>
      </c>
      <c r="C148" s="10">
        <v>415.27300000000002</v>
      </c>
      <c r="D148" s="10">
        <f t="shared" si="56"/>
        <v>373.74570000000006</v>
      </c>
      <c r="E148" s="4"/>
      <c r="F148" s="19">
        <f t="shared" si="57"/>
        <v>50.154506067775266</v>
      </c>
      <c r="G148" s="19">
        <f t="shared" si="58"/>
        <v>2.8853713715527918</v>
      </c>
      <c r="H148" s="19">
        <f t="shared" si="50"/>
        <v>370.86032862844729</v>
      </c>
      <c r="J148" s="19">
        <f t="shared" si="59"/>
        <v>32.88490469322705</v>
      </c>
      <c r="K148" s="19">
        <f t="shared" si="60"/>
        <v>1.1673405140838404</v>
      </c>
      <c r="L148" s="19">
        <f t="shared" si="51"/>
        <v>372.57835948591622</v>
      </c>
      <c r="N148" s="19">
        <f t="shared" si="61"/>
        <v>49.805456159906441</v>
      </c>
      <c r="O148" s="19">
        <f t="shared" si="62"/>
        <v>2.8385928339726085</v>
      </c>
      <c r="P148" s="19">
        <f t="shared" si="52"/>
        <v>370.90710716602746</v>
      </c>
      <c r="R148" s="19">
        <f t="shared" si="63"/>
        <v>66.100865473969819</v>
      </c>
      <c r="S148" s="19">
        <f t="shared" si="64"/>
        <v>5.68539844662061</v>
      </c>
      <c r="T148" s="19">
        <f t="shared" si="53"/>
        <v>368.06030155337942</v>
      </c>
      <c r="V148" s="19">
        <f t="shared" si="65"/>
        <v>78.792231644972034</v>
      </c>
      <c r="W148" s="19">
        <f t="shared" si="66"/>
        <v>9.0029925581518917</v>
      </c>
      <c r="X148" s="19">
        <f t="shared" si="54"/>
        <v>364.74270744184815</v>
      </c>
      <c r="Z148" s="19">
        <f t="shared" si="67"/>
        <v>233.2299565422347</v>
      </c>
      <c r="AA148" s="19">
        <f t="shared" si="68"/>
        <v>199.3160593003411</v>
      </c>
      <c r="AB148" s="19">
        <f t="shared" si="55"/>
        <v>174.42964069965896</v>
      </c>
    </row>
    <row r="149" spans="2:28" x14ac:dyDescent="0.3">
      <c r="B149" s="10">
        <v>4820.1000000000004</v>
      </c>
      <c r="C149" s="10">
        <v>418.90899999999999</v>
      </c>
      <c r="D149" s="10">
        <f t="shared" si="56"/>
        <v>377.0181</v>
      </c>
      <c r="E149" s="4"/>
      <c r="F149" s="19">
        <f t="shared" si="57"/>
        <v>50.562776280600929</v>
      </c>
      <c r="G149" s="19">
        <f t="shared" si="58"/>
        <v>2.9408014364684343</v>
      </c>
      <c r="H149" s="19">
        <f t="shared" si="50"/>
        <v>374.07729856353154</v>
      </c>
      <c r="J149" s="19">
        <f t="shared" si="59"/>
        <v>33.152596035251491</v>
      </c>
      <c r="K149" s="19">
        <f t="shared" si="60"/>
        <v>1.18584679651627</v>
      </c>
      <c r="L149" s="19">
        <f t="shared" si="51"/>
        <v>375.83225320348373</v>
      </c>
      <c r="N149" s="19">
        <f t="shared" si="61"/>
        <v>50.210885019255713</v>
      </c>
      <c r="O149" s="19">
        <f t="shared" si="62"/>
        <v>2.8929798313699924</v>
      </c>
      <c r="P149" s="19">
        <f t="shared" si="52"/>
        <v>374.12512016863002</v>
      </c>
      <c r="R149" s="19">
        <f t="shared" si="63"/>
        <v>66.63894303730082</v>
      </c>
      <c r="S149" s="19">
        <f t="shared" si="64"/>
        <v>5.8048029185383188</v>
      </c>
      <c r="T149" s="19">
        <f t="shared" si="53"/>
        <v>371.21329708146169</v>
      </c>
      <c r="V149" s="19">
        <f t="shared" si="65"/>
        <v>79.433620100462591</v>
      </c>
      <c r="W149" s="19">
        <f t="shared" si="66"/>
        <v>9.2001269281271156</v>
      </c>
      <c r="X149" s="19">
        <f t="shared" si="54"/>
        <v>367.81797307187287</v>
      </c>
      <c r="Z149" s="19">
        <f t="shared" si="67"/>
        <v>235.1285066718311</v>
      </c>
      <c r="AA149" s="19">
        <f t="shared" si="68"/>
        <v>204.15065582165036</v>
      </c>
      <c r="AB149" s="19">
        <f t="shared" si="55"/>
        <v>172.86744417834964</v>
      </c>
    </row>
    <row r="150" spans="2:28" x14ac:dyDescent="0.3">
      <c r="B150" s="10">
        <v>4864.58</v>
      </c>
      <c r="C150" s="10">
        <v>421.81799999999998</v>
      </c>
      <c r="D150" s="10">
        <f t="shared" si="56"/>
        <v>379.63619999999997</v>
      </c>
      <c r="E150" s="4"/>
      <c r="F150" s="19">
        <f t="shared" si="57"/>
        <v>51.029370809544538</v>
      </c>
      <c r="G150" s="19">
        <f t="shared" si="58"/>
        <v>3.0051017488451035</v>
      </c>
      <c r="H150" s="19">
        <f t="shared" si="50"/>
        <v>376.63109825115487</v>
      </c>
      <c r="J150" s="19">
        <f t="shared" si="59"/>
        <v>33.458528997565132</v>
      </c>
      <c r="K150" s="19">
        <f t="shared" si="60"/>
        <v>1.20726508670647</v>
      </c>
      <c r="L150" s="19">
        <f t="shared" si="51"/>
        <v>378.42893491329352</v>
      </c>
      <c r="N150" s="19">
        <f t="shared" si="61"/>
        <v>50.674232287083456</v>
      </c>
      <c r="O150" s="19">
        <f t="shared" si="62"/>
        <v>2.9560683351898072</v>
      </c>
      <c r="P150" s="19">
        <f t="shared" si="52"/>
        <v>376.68013166481018</v>
      </c>
      <c r="R150" s="19">
        <f t="shared" si="63"/>
        <v>67.253888823964814</v>
      </c>
      <c r="S150" s="19">
        <f t="shared" si="64"/>
        <v>5.9434437669660687</v>
      </c>
      <c r="T150" s="19">
        <f t="shared" si="53"/>
        <v>373.69275623303389</v>
      </c>
      <c r="V150" s="19">
        <f t="shared" si="65"/>
        <v>80.166635478166071</v>
      </c>
      <c r="W150" s="19">
        <f t="shared" si="66"/>
        <v>9.4291131713795711</v>
      </c>
      <c r="X150" s="19">
        <f t="shared" si="54"/>
        <v>370.20708682862039</v>
      </c>
      <c r="Z150" s="19">
        <f t="shared" si="67"/>
        <v>237.2982782485127</v>
      </c>
      <c r="AA150" s="19">
        <f t="shared" si="68"/>
        <v>209.77160812571859</v>
      </c>
      <c r="AB150" s="19">
        <f t="shared" si="55"/>
        <v>169.86459187428139</v>
      </c>
    </row>
    <row r="151" spans="2:28" x14ac:dyDescent="0.3">
      <c r="B151" s="10">
        <v>4892.37</v>
      </c>
      <c r="C151" s="10">
        <v>424</v>
      </c>
      <c r="D151" s="10">
        <f t="shared" si="56"/>
        <v>381.6</v>
      </c>
      <c r="E151" s="4"/>
      <c r="F151" s="19">
        <f t="shared" si="57"/>
        <v>51.320887490285173</v>
      </c>
      <c r="G151" s="19">
        <f t="shared" si="58"/>
        <v>3.0457941777629047</v>
      </c>
      <c r="H151" s="19">
        <f t="shared" si="50"/>
        <v>378.55420582223712</v>
      </c>
      <c r="J151" s="19">
        <f t="shared" si="59"/>
        <v>33.649668319118547</v>
      </c>
      <c r="K151" s="19">
        <f t="shared" si="60"/>
        <v>1.2207930505277051</v>
      </c>
      <c r="L151" s="19">
        <f t="shared" si="51"/>
        <v>380.37920694947229</v>
      </c>
      <c r="N151" s="19">
        <f t="shared" si="61"/>
        <v>50.96372015967637</v>
      </c>
      <c r="O151" s="19">
        <f t="shared" si="62"/>
        <v>2.9959928915734859</v>
      </c>
      <c r="P151" s="19">
        <f t="shared" si="52"/>
        <v>378.60400710842652</v>
      </c>
      <c r="R151" s="19">
        <f t="shared" si="63"/>
        <v>67.638091688429569</v>
      </c>
      <c r="S151" s="19">
        <f t="shared" si="64"/>
        <v>6.0312516784317793</v>
      </c>
      <c r="T151" s="19">
        <f t="shared" si="53"/>
        <v>375.56874832156825</v>
      </c>
      <c r="V151" s="19">
        <f t="shared" si="65"/>
        <v>80.624605292608052</v>
      </c>
      <c r="W151" s="19">
        <f t="shared" si="66"/>
        <v>9.5741911048062747</v>
      </c>
      <c r="X151" s="19">
        <f t="shared" si="54"/>
        <v>372.02580889519373</v>
      </c>
      <c r="Z151" s="19">
        <f t="shared" si="67"/>
        <v>238.65389767558062</v>
      </c>
      <c r="AA151" s="19">
        <f t="shared" si="68"/>
        <v>213.33564906974155</v>
      </c>
      <c r="AB151" s="19">
        <f t="shared" si="55"/>
        <v>168.26435093025847</v>
      </c>
    </row>
    <row r="152" spans="2:28" x14ac:dyDescent="0.3">
      <c r="B152" s="10">
        <v>4931.29</v>
      </c>
      <c r="C152" s="10">
        <v>426.18200000000002</v>
      </c>
      <c r="D152" s="10">
        <f t="shared" si="56"/>
        <v>383.56380000000001</v>
      </c>
      <c r="E152" s="4"/>
      <c r="F152" s="19">
        <f t="shared" si="57"/>
        <v>51.729157703110843</v>
      </c>
      <c r="G152" s="19">
        <f t="shared" si="58"/>
        <v>3.1034603843754898</v>
      </c>
      <c r="H152" s="19">
        <f t="shared" si="50"/>
        <v>380.46033961562455</v>
      </c>
      <c r="J152" s="19">
        <f t="shared" si="59"/>
        <v>33.917359661142982</v>
      </c>
      <c r="K152" s="19">
        <f t="shared" si="60"/>
        <v>1.239929650234155</v>
      </c>
      <c r="L152" s="19">
        <f t="shared" si="51"/>
        <v>382.32387034976585</v>
      </c>
      <c r="N152" s="19">
        <f t="shared" si="61"/>
        <v>51.369149019025649</v>
      </c>
      <c r="O152" s="19">
        <f t="shared" si="62"/>
        <v>3.0525696675995286</v>
      </c>
      <c r="P152" s="19">
        <f t="shared" si="52"/>
        <v>380.51123033240049</v>
      </c>
      <c r="R152" s="19">
        <f t="shared" si="63"/>
        <v>68.17616925176057</v>
      </c>
      <c r="S152" s="19">
        <f t="shared" si="64"/>
        <v>6.1557752181794827</v>
      </c>
      <c r="T152" s="19">
        <f t="shared" si="53"/>
        <v>377.40802478182053</v>
      </c>
      <c r="V152" s="19">
        <f t="shared" si="65"/>
        <v>81.265993748098609</v>
      </c>
      <c r="W152" s="19">
        <f t="shared" si="66"/>
        <v>9.7799954858197911</v>
      </c>
      <c r="X152" s="19">
        <f t="shared" si="54"/>
        <v>373.78380451418025</v>
      </c>
      <c r="Z152" s="19">
        <f t="shared" si="67"/>
        <v>240.55244780517702</v>
      </c>
      <c r="AA152" s="19">
        <f t="shared" si="68"/>
        <v>218.39511089007632</v>
      </c>
      <c r="AB152" s="19">
        <f t="shared" si="55"/>
        <v>165.16868910992369</v>
      </c>
    </row>
    <row r="153" spans="2:28" x14ac:dyDescent="0.3">
      <c r="B153" s="10">
        <v>4975.7700000000004</v>
      </c>
      <c r="C153" s="10">
        <v>429.09100000000001</v>
      </c>
      <c r="D153" s="10">
        <f t="shared" si="56"/>
        <v>386.18190000000004</v>
      </c>
      <c r="E153" s="4"/>
      <c r="F153" s="19">
        <f t="shared" si="57"/>
        <v>52.19575223205446</v>
      </c>
      <c r="G153" s="19">
        <f t="shared" si="58"/>
        <v>3.1703382318608337</v>
      </c>
      <c r="H153" s="19">
        <f t="shared" si="50"/>
        <v>383.01156176813919</v>
      </c>
      <c r="J153" s="19">
        <f t="shared" si="59"/>
        <v>34.223292623456636</v>
      </c>
      <c r="K153" s="19">
        <f t="shared" si="60"/>
        <v>1.2620744887041959</v>
      </c>
      <c r="L153" s="19">
        <f t="shared" si="51"/>
        <v>384.91982551129587</v>
      </c>
      <c r="N153" s="19">
        <f t="shared" si="61"/>
        <v>51.832496286853385</v>
      </c>
      <c r="O153" s="19">
        <f t="shared" si="62"/>
        <v>3.1181822651757041</v>
      </c>
      <c r="P153" s="19">
        <f t="shared" si="52"/>
        <v>383.06371773482437</v>
      </c>
      <c r="R153" s="19">
        <f t="shared" si="63"/>
        <v>68.791115038424564</v>
      </c>
      <c r="S153" s="19">
        <f t="shared" si="64"/>
        <v>6.300316666320362</v>
      </c>
      <c r="T153" s="19">
        <f t="shared" si="53"/>
        <v>379.88158333367966</v>
      </c>
      <c r="V153" s="19">
        <f t="shared" si="65"/>
        <v>81.999009125802104</v>
      </c>
      <c r="W153" s="19">
        <f t="shared" si="66"/>
        <v>10.018975397127523</v>
      </c>
      <c r="X153" s="19">
        <f t="shared" si="54"/>
        <v>376.16292460287252</v>
      </c>
      <c r="Z153" s="19">
        <f t="shared" si="67"/>
        <v>242.72221938185871</v>
      </c>
      <c r="AA153" s="19">
        <f t="shared" si="68"/>
        <v>224.27525884518664</v>
      </c>
      <c r="AB153" s="19">
        <f t="shared" si="55"/>
        <v>161.9066411548134</v>
      </c>
    </row>
    <row r="154" spans="2:28" x14ac:dyDescent="0.3">
      <c r="B154" s="10">
        <v>5014.6899999999996</v>
      </c>
      <c r="C154" s="10">
        <v>431.27300000000002</v>
      </c>
      <c r="D154" s="10">
        <f t="shared" si="56"/>
        <v>388.14570000000003</v>
      </c>
      <c r="E154" s="4"/>
      <c r="F154" s="19">
        <f t="shared" si="57"/>
        <v>52.604022444880108</v>
      </c>
      <c r="G154" s="19">
        <f t="shared" si="58"/>
        <v>3.2297152995392859</v>
      </c>
      <c r="H154" s="19">
        <f t="shared" si="50"/>
        <v>384.91598470046074</v>
      </c>
      <c r="J154" s="19">
        <f t="shared" si="59"/>
        <v>34.490983965481064</v>
      </c>
      <c r="K154" s="19">
        <f t="shared" si="60"/>
        <v>1.2816933410714417</v>
      </c>
      <c r="L154" s="19">
        <f t="shared" si="51"/>
        <v>386.86400665892859</v>
      </c>
      <c r="N154" s="19">
        <f t="shared" si="61"/>
        <v>52.237925146202656</v>
      </c>
      <c r="O154" s="19">
        <f t="shared" si="62"/>
        <v>3.1764344301110325</v>
      </c>
      <c r="P154" s="19">
        <f t="shared" si="52"/>
        <v>384.96926556988899</v>
      </c>
      <c r="R154" s="19">
        <f t="shared" si="63"/>
        <v>69.329192601755565</v>
      </c>
      <c r="S154" s="19">
        <f t="shared" si="64"/>
        <v>6.4287567798057115</v>
      </c>
      <c r="T154" s="19">
        <f t="shared" si="53"/>
        <v>381.71694322019431</v>
      </c>
      <c r="V154" s="19">
        <f t="shared" si="65"/>
        <v>82.640397581292646</v>
      </c>
      <c r="W154" s="19">
        <f t="shared" si="66"/>
        <v>10.231413161144612</v>
      </c>
      <c r="X154" s="19">
        <f t="shared" si="54"/>
        <v>377.91428683885545</v>
      </c>
      <c r="Z154" s="19">
        <f t="shared" si="67"/>
        <v>244.62076951145505</v>
      </c>
      <c r="AA154" s="19">
        <f t="shared" si="68"/>
        <v>229.50676400503528</v>
      </c>
      <c r="AB154" s="19">
        <f t="shared" si="55"/>
        <v>158.63893599496475</v>
      </c>
    </row>
    <row r="155" spans="2:28" x14ac:dyDescent="0.3">
      <c r="B155" s="10">
        <v>5053.6099999999997</v>
      </c>
      <c r="C155" s="10">
        <v>433.45499999999998</v>
      </c>
      <c r="D155" s="10">
        <f t="shared" si="56"/>
        <v>390.10949999999997</v>
      </c>
      <c r="E155" s="4"/>
      <c r="F155" s="19">
        <f t="shared" si="57"/>
        <v>53.012292657705778</v>
      </c>
      <c r="G155" s="19">
        <f t="shared" si="58"/>
        <v>3.2899006267168449</v>
      </c>
      <c r="H155" s="19">
        <f t="shared" si="50"/>
        <v>386.8195993732831</v>
      </c>
      <c r="J155" s="19">
        <f t="shared" si="59"/>
        <v>34.758675307505499</v>
      </c>
      <c r="K155" s="19">
        <f t="shared" si="60"/>
        <v>1.3015400233319696</v>
      </c>
      <c r="L155" s="19">
        <f t="shared" si="51"/>
        <v>388.80795997666797</v>
      </c>
      <c r="N155" s="19">
        <f t="shared" si="61"/>
        <v>52.643354005551927</v>
      </c>
      <c r="O155" s="19">
        <f t="shared" si="62"/>
        <v>3.2354780964883152</v>
      </c>
      <c r="P155" s="19">
        <f t="shared" si="52"/>
        <v>386.87402190351168</v>
      </c>
      <c r="R155" s="19">
        <f t="shared" si="63"/>
        <v>69.867270165086566</v>
      </c>
      <c r="S155" s="19">
        <f t="shared" si="64"/>
        <v>6.5590471942830773</v>
      </c>
      <c r="T155" s="19">
        <f t="shared" si="53"/>
        <v>383.55045280571687</v>
      </c>
      <c r="V155" s="19">
        <f t="shared" si="65"/>
        <v>83.281786036783203</v>
      </c>
      <c r="W155" s="19">
        <f t="shared" si="66"/>
        <v>10.446984724235625</v>
      </c>
      <c r="X155" s="19">
        <f t="shared" si="54"/>
        <v>379.66251527576435</v>
      </c>
      <c r="Z155" s="19">
        <f t="shared" si="67"/>
        <v>246.51931964105151</v>
      </c>
      <c r="AA155" s="19">
        <f t="shared" si="68"/>
        <v>234.81954733889467</v>
      </c>
      <c r="AB155" s="19">
        <f t="shared" si="55"/>
        <v>155.2899526611053</v>
      </c>
    </row>
    <row r="156" spans="2:28" x14ac:dyDescent="0.3">
      <c r="B156" s="10">
        <v>5092.53</v>
      </c>
      <c r="C156" s="10">
        <v>436.36399999999998</v>
      </c>
      <c r="D156" s="10">
        <f t="shared" si="56"/>
        <v>392.7276</v>
      </c>
      <c r="E156" s="4"/>
      <c r="F156" s="19">
        <f t="shared" si="57"/>
        <v>53.420562870531448</v>
      </c>
      <c r="G156" s="19">
        <f t="shared" si="58"/>
        <v>3.3509004864551937</v>
      </c>
      <c r="H156" s="19">
        <f t="shared" si="50"/>
        <v>389.37669951354479</v>
      </c>
      <c r="J156" s="19">
        <f t="shared" si="59"/>
        <v>35.026366649529933</v>
      </c>
      <c r="K156" s="19">
        <f t="shared" si="60"/>
        <v>1.3216163037185997</v>
      </c>
      <c r="L156" s="19">
        <f t="shared" si="51"/>
        <v>391.4059836962814</v>
      </c>
      <c r="N156" s="19">
        <f t="shared" si="61"/>
        <v>53.048782864901199</v>
      </c>
      <c r="O156" s="19">
        <f t="shared" si="62"/>
        <v>3.2953194073066467</v>
      </c>
      <c r="P156" s="19">
        <f t="shared" si="52"/>
        <v>389.43228059269336</v>
      </c>
      <c r="R156" s="19">
        <f t="shared" si="63"/>
        <v>70.405347728417567</v>
      </c>
      <c r="S156" s="19">
        <f t="shared" si="64"/>
        <v>6.6912022703040845</v>
      </c>
      <c r="T156" s="19">
        <f t="shared" si="53"/>
        <v>386.03639772969592</v>
      </c>
      <c r="V156" s="19">
        <f t="shared" si="65"/>
        <v>83.923174492273745</v>
      </c>
      <c r="W156" s="19">
        <f t="shared" si="66"/>
        <v>10.665714408434413</v>
      </c>
      <c r="X156" s="19">
        <f t="shared" si="54"/>
        <v>382.06188559156556</v>
      </c>
      <c r="Z156" s="19">
        <f t="shared" si="67"/>
        <v>248.41786977064785</v>
      </c>
      <c r="AA156" s="19">
        <f t="shared" si="68"/>
        <v>240.21423966273343</v>
      </c>
      <c r="AB156" s="19">
        <f t="shared" si="55"/>
        <v>152.51336033726656</v>
      </c>
    </row>
    <row r="157" spans="2:28" x14ac:dyDescent="0.3">
      <c r="B157" s="10">
        <v>5131.45</v>
      </c>
      <c r="C157" s="10">
        <v>438.54500000000002</v>
      </c>
      <c r="D157" s="10">
        <f t="shared" si="56"/>
        <v>394.69050000000004</v>
      </c>
      <c r="E157" s="4"/>
      <c r="F157" s="19">
        <f t="shared" si="57"/>
        <v>53.828833083357111</v>
      </c>
      <c r="G157" s="19">
        <f t="shared" si="58"/>
        <v>3.4127211518160152</v>
      </c>
      <c r="H157" s="19">
        <f t="shared" si="50"/>
        <v>391.27777884818403</v>
      </c>
      <c r="J157" s="19">
        <f t="shared" si="59"/>
        <v>35.294057991554382</v>
      </c>
      <c r="K157" s="19">
        <f t="shared" si="60"/>
        <v>1.3419239504641551</v>
      </c>
      <c r="L157" s="19">
        <f t="shared" si="51"/>
        <v>393.34857604953589</v>
      </c>
      <c r="N157" s="19">
        <f t="shared" si="61"/>
        <v>53.454211724250477</v>
      </c>
      <c r="O157" s="19">
        <f t="shared" si="62"/>
        <v>3.3559645055651202</v>
      </c>
      <c r="P157" s="19">
        <f t="shared" si="52"/>
        <v>391.33453549443493</v>
      </c>
      <c r="R157" s="19">
        <f t="shared" si="63"/>
        <v>70.943425291748568</v>
      </c>
      <c r="S157" s="19">
        <f t="shared" si="64"/>
        <v>6.825236368420355</v>
      </c>
      <c r="T157" s="19">
        <f t="shared" si="53"/>
        <v>387.86526363157969</v>
      </c>
      <c r="V157" s="19">
        <f t="shared" si="65"/>
        <v>84.564562947764287</v>
      </c>
      <c r="W157" s="19">
        <f t="shared" si="66"/>
        <v>10.88762653577483</v>
      </c>
      <c r="X157" s="19">
        <f t="shared" si="54"/>
        <v>383.80287346422523</v>
      </c>
      <c r="Z157" s="19">
        <f t="shared" si="67"/>
        <v>250.31641990024431</v>
      </c>
      <c r="AA157" s="19">
        <f t="shared" si="68"/>
        <v>245.6914717925213</v>
      </c>
      <c r="AB157" s="19">
        <f t="shared" si="55"/>
        <v>148.99902820747874</v>
      </c>
    </row>
    <row r="158" spans="2:28" x14ac:dyDescent="0.3">
      <c r="B158" s="10">
        <v>5164.8100000000004</v>
      </c>
      <c r="C158" s="10">
        <v>440.72699999999998</v>
      </c>
      <c r="D158" s="10">
        <f t="shared" si="56"/>
        <v>396.65429999999998</v>
      </c>
      <c r="E158" s="4"/>
      <c r="F158" s="19">
        <f t="shared" si="57"/>
        <v>54.178778980064827</v>
      </c>
      <c r="G158" s="19">
        <f t="shared" si="58"/>
        <v>3.4663683429153038</v>
      </c>
      <c r="H158" s="19">
        <f t="shared" si="50"/>
        <v>393.18793165708468</v>
      </c>
      <c r="J158" s="19">
        <f t="shared" si="59"/>
        <v>35.523507713289611</v>
      </c>
      <c r="K158" s="19">
        <f t="shared" si="60"/>
        <v>1.3595159939035504</v>
      </c>
      <c r="L158" s="19">
        <f t="shared" si="51"/>
        <v>395.29478400609645</v>
      </c>
      <c r="N158" s="19">
        <f t="shared" si="61"/>
        <v>53.801722175121292</v>
      </c>
      <c r="O158" s="19">
        <f t="shared" si="62"/>
        <v>3.4085904240459199</v>
      </c>
      <c r="P158" s="19">
        <f t="shared" si="52"/>
        <v>393.24570957595404</v>
      </c>
      <c r="R158" s="19">
        <f t="shared" si="63"/>
        <v>71.404634631746575</v>
      </c>
      <c r="S158" s="19">
        <f t="shared" si="64"/>
        <v>6.9416291719819077</v>
      </c>
      <c r="T158" s="19">
        <f t="shared" si="53"/>
        <v>389.71267082801808</v>
      </c>
      <c r="V158" s="19">
        <f t="shared" si="65"/>
        <v>85.114324481041919</v>
      </c>
      <c r="W158" s="19">
        <f t="shared" si="66"/>
        <v>11.080388332114635</v>
      </c>
      <c r="X158" s="19">
        <f t="shared" si="54"/>
        <v>385.57391166788534</v>
      </c>
      <c r="Z158" s="19">
        <f t="shared" si="67"/>
        <v>251.94374858275549</v>
      </c>
      <c r="AA158" s="19">
        <f t="shared" si="68"/>
        <v>250.45241530661352</v>
      </c>
      <c r="AB158" s="19">
        <f t="shared" si="55"/>
        <v>146.20188469338646</v>
      </c>
    </row>
    <row r="159" spans="2:28" x14ac:dyDescent="0.3">
      <c r="B159" s="10">
        <v>5209.29</v>
      </c>
      <c r="C159" s="10">
        <v>443.63600000000002</v>
      </c>
      <c r="D159" s="10">
        <f t="shared" si="56"/>
        <v>399.2724</v>
      </c>
      <c r="E159" s="4"/>
      <c r="F159" s="19">
        <f t="shared" si="57"/>
        <v>54.645373509008444</v>
      </c>
      <c r="G159" s="19">
        <f t="shared" si="58"/>
        <v>3.5388499916518277</v>
      </c>
      <c r="H159" s="19">
        <f t="shared" si="50"/>
        <v>395.73355000834817</v>
      </c>
      <c r="J159" s="19">
        <f t="shared" si="59"/>
        <v>35.829440675603252</v>
      </c>
      <c r="K159" s="19">
        <f t="shared" si="60"/>
        <v>1.3832404159633198</v>
      </c>
      <c r="L159" s="19">
        <f t="shared" si="51"/>
        <v>397.88915958403669</v>
      </c>
      <c r="N159" s="19">
        <f t="shared" si="61"/>
        <v>54.265069442949027</v>
      </c>
      <c r="O159" s="19">
        <f t="shared" si="62"/>
        <v>3.4796906363988622</v>
      </c>
      <c r="P159" s="19">
        <f t="shared" si="52"/>
        <v>395.79270936360115</v>
      </c>
      <c r="R159" s="19">
        <f t="shared" si="63"/>
        <v>72.01958041841057</v>
      </c>
      <c r="S159" s="19">
        <f t="shared" si="64"/>
        <v>7.0989990731451655</v>
      </c>
      <c r="T159" s="19">
        <f t="shared" si="53"/>
        <v>392.17340092685481</v>
      </c>
      <c r="V159" s="19">
        <f t="shared" si="65"/>
        <v>85.8473398587454</v>
      </c>
      <c r="W159" s="19">
        <f t="shared" si="66"/>
        <v>11.341095408015995</v>
      </c>
      <c r="X159" s="19">
        <f t="shared" si="54"/>
        <v>387.93130459198403</v>
      </c>
      <c r="Z159" s="19">
        <f t="shared" si="67"/>
        <v>254.11352015943714</v>
      </c>
      <c r="AA159" s="19">
        <f t="shared" si="68"/>
        <v>256.89607873382016</v>
      </c>
      <c r="AB159" s="19">
        <f t="shared" si="55"/>
        <v>142.37632126617984</v>
      </c>
    </row>
    <row r="160" spans="2:28" x14ac:dyDescent="0.3">
      <c r="B160" s="10">
        <v>5253.77</v>
      </c>
      <c r="C160" s="10">
        <v>445.81799999999998</v>
      </c>
      <c r="D160" s="10">
        <f t="shared" si="56"/>
        <v>401.2362</v>
      </c>
      <c r="E160" s="4"/>
      <c r="F160" s="19">
        <f t="shared" si="57"/>
        <v>55.111968037952067</v>
      </c>
      <c r="G160" s="19">
        <f t="shared" si="58"/>
        <v>3.6124282931981915</v>
      </c>
      <c r="H160" s="19">
        <f t="shared" si="50"/>
        <v>397.62377170680179</v>
      </c>
      <c r="J160" s="19">
        <f t="shared" si="59"/>
        <v>36.135373637916892</v>
      </c>
      <c r="K160" s="19">
        <f t="shared" si="60"/>
        <v>1.4072739594041672</v>
      </c>
      <c r="L160" s="19">
        <f t="shared" si="51"/>
        <v>399.82892604059583</v>
      </c>
      <c r="N160" s="19">
        <f t="shared" si="61"/>
        <v>54.728416710776763</v>
      </c>
      <c r="O160" s="19">
        <f t="shared" si="62"/>
        <v>3.5518647640986392</v>
      </c>
      <c r="P160" s="19">
        <f t="shared" si="52"/>
        <v>397.68433523590136</v>
      </c>
      <c r="R160" s="19">
        <f t="shared" si="63"/>
        <v>72.634526205074565</v>
      </c>
      <c r="S160" s="19">
        <f t="shared" si="64"/>
        <v>7.258879477165733</v>
      </c>
      <c r="T160" s="19">
        <f t="shared" si="53"/>
        <v>393.97732052283425</v>
      </c>
      <c r="V160" s="19">
        <f t="shared" si="65"/>
        <v>86.580355236448895</v>
      </c>
      <c r="W160" s="19">
        <f t="shared" si="66"/>
        <v>11.606054447010512</v>
      </c>
      <c r="X160" s="19">
        <f t="shared" si="54"/>
        <v>389.63014555298946</v>
      </c>
      <c r="Z160" s="19">
        <f t="shared" si="67"/>
        <v>256.28329173611877</v>
      </c>
      <c r="AA160" s="19">
        <f t="shared" si="68"/>
        <v>263.45002102320643</v>
      </c>
      <c r="AB160" s="19">
        <f t="shared" si="55"/>
        <v>137.78617897679356</v>
      </c>
    </row>
    <row r="161" spans="2:28" x14ac:dyDescent="0.3">
      <c r="B161" s="10">
        <v>5292.69</v>
      </c>
      <c r="C161" s="10">
        <v>448</v>
      </c>
      <c r="D161" s="10">
        <f t="shared" si="56"/>
        <v>403.2</v>
      </c>
      <c r="E161" s="4"/>
      <c r="F161" s="19">
        <f t="shared" si="57"/>
        <v>55.520238250777723</v>
      </c>
      <c r="G161" s="19">
        <f t="shared" si="58"/>
        <v>3.6777162663051826</v>
      </c>
      <c r="H161" s="19">
        <f t="shared" si="50"/>
        <v>399.52228373369479</v>
      </c>
      <c r="J161" s="19">
        <f t="shared" si="59"/>
        <v>36.403064979941327</v>
      </c>
      <c r="K161" s="19">
        <f t="shared" si="60"/>
        <v>1.4285589610149103</v>
      </c>
      <c r="L161" s="19">
        <f t="shared" si="51"/>
        <v>401.77144103898507</v>
      </c>
      <c r="N161" s="19">
        <f t="shared" si="61"/>
        <v>55.133845570126034</v>
      </c>
      <c r="O161" s="19">
        <f t="shared" si="62"/>
        <v>3.6159052806402783</v>
      </c>
      <c r="P161" s="19">
        <f t="shared" si="52"/>
        <v>399.58409471935971</v>
      </c>
      <c r="R161" s="19">
        <f t="shared" si="63"/>
        <v>73.172603768405537</v>
      </c>
      <c r="S161" s="19">
        <f t="shared" si="64"/>
        <v>7.4008510792265767</v>
      </c>
      <c r="T161" s="19">
        <f t="shared" si="53"/>
        <v>395.7991489207734</v>
      </c>
      <c r="V161" s="19">
        <f t="shared" si="65"/>
        <v>87.221743691939437</v>
      </c>
      <c r="W161" s="19">
        <f t="shared" si="66"/>
        <v>11.84141008576775</v>
      </c>
      <c r="X161" s="19">
        <f t="shared" si="54"/>
        <v>391.35858991423225</v>
      </c>
      <c r="Z161" s="19">
        <f t="shared" si="67"/>
        <v>258.18184186571511</v>
      </c>
      <c r="AA161" s="19">
        <f t="shared" si="68"/>
        <v>269.27592389878021</v>
      </c>
      <c r="AB161" s="19">
        <f t="shared" si="55"/>
        <v>133.92407610121978</v>
      </c>
    </row>
    <row r="162" spans="2:28" x14ac:dyDescent="0.3">
      <c r="B162" s="10">
        <v>5331.61</v>
      </c>
      <c r="C162" s="10">
        <v>450.90899999999999</v>
      </c>
      <c r="D162" s="10">
        <f t="shared" si="56"/>
        <v>405.81810000000002</v>
      </c>
      <c r="E162" s="4"/>
      <c r="F162" s="19">
        <f t="shared" si="57"/>
        <v>55.928508463603386</v>
      </c>
      <c r="G162" s="19">
        <f t="shared" si="58"/>
        <v>3.7438573064947476</v>
      </c>
      <c r="H162" s="19">
        <f t="shared" si="50"/>
        <v>402.07424269350525</v>
      </c>
      <c r="J162" s="19">
        <f t="shared" si="59"/>
        <v>36.670756321965762</v>
      </c>
      <c r="K162" s="19">
        <f t="shared" si="60"/>
        <v>1.450084422753372</v>
      </c>
      <c r="L162" s="19">
        <f t="shared" si="51"/>
        <v>404.36801557724664</v>
      </c>
      <c r="N162" s="19">
        <f t="shared" si="61"/>
        <v>55.539274429475306</v>
      </c>
      <c r="O162" s="19">
        <f t="shared" si="62"/>
        <v>3.680781177188821</v>
      </c>
      <c r="P162" s="19">
        <f t="shared" si="52"/>
        <v>402.13731882281121</v>
      </c>
      <c r="R162" s="19">
        <f t="shared" si="63"/>
        <v>73.710681331736566</v>
      </c>
      <c r="S162" s="19">
        <f t="shared" si="64"/>
        <v>7.5447755576481788</v>
      </c>
      <c r="T162" s="19">
        <f t="shared" si="53"/>
        <v>398.27332444235185</v>
      </c>
      <c r="V162" s="19">
        <f t="shared" si="65"/>
        <v>87.86313214742998</v>
      </c>
      <c r="W162" s="19">
        <f t="shared" si="66"/>
        <v>12.080073252412161</v>
      </c>
      <c r="X162" s="19">
        <f t="shared" si="54"/>
        <v>393.73802674758787</v>
      </c>
      <c r="Z162" s="19">
        <f t="shared" si="67"/>
        <v>260.08039199531157</v>
      </c>
      <c r="AA162" s="19">
        <f t="shared" si="68"/>
        <v>275.1876107767161</v>
      </c>
      <c r="AB162" s="19">
        <f t="shared" si="55"/>
        <v>130.63048922328392</v>
      </c>
    </row>
    <row r="163" spans="2:28" x14ac:dyDescent="0.3">
      <c r="B163" s="10">
        <v>5376.09</v>
      </c>
      <c r="C163" s="10">
        <v>453.81799999999998</v>
      </c>
      <c r="D163" s="10">
        <f t="shared" si="56"/>
        <v>408.43619999999999</v>
      </c>
      <c r="E163" s="4"/>
      <c r="F163" s="19">
        <f t="shared" si="57"/>
        <v>56.395102992547002</v>
      </c>
      <c r="G163" s="19">
        <f t="shared" si="58"/>
        <v>3.820499685725455</v>
      </c>
      <c r="H163" s="19">
        <f t="shared" si="50"/>
        <v>404.61570031427453</v>
      </c>
      <c r="J163" s="19">
        <f t="shared" si="59"/>
        <v>36.976689284279409</v>
      </c>
      <c r="K163" s="19">
        <f t="shared" si="60"/>
        <v>1.47498165971419</v>
      </c>
      <c r="L163" s="19">
        <f t="shared" si="51"/>
        <v>406.96121834028577</v>
      </c>
      <c r="N163" s="19">
        <f t="shared" si="61"/>
        <v>56.002621697303056</v>
      </c>
      <c r="O163" s="19">
        <f t="shared" si="62"/>
        <v>3.7559558534848274</v>
      </c>
      <c r="P163" s="19">
        <f t="shared" si="52"/>
        <v>404.68024414651518</v>
      </c>
      <c r="R163" s="19">
        <f t="shared" si="63"/>
        <v>74.325627118400561</v>
      </c>
      <c r="S163" s="19">
        <f t="shared" si="64"/>
        <v>7.7116703747195734</v>
      </c>
      <c r="T163" s="19">
        <f t="shared" si="53"/>
        <v>400.72452962528041</v>
      </c>
      <c r="V163" s="19">
        <f t="shared" si="65"/>
        <v>88.596147525133489</v>
      </c>
      <c r="W163" s="19">
        <f t="shared" si="66"/>
        <v>12.35691239157287</v>
      </c>
      <c r="X163" s="19">
        <f t="shared" si="54"/>
        <v>396.07928760842714</v>
      </c>
      <c r="Z163" s="19">
        <f t="shared" si="67"/>
        <v>262.2501635719932</v>
      </c>
      <c r="AA163" s="19">
        <f t="shared" si="68"/>
        <v>282.04967519703433</v>
      </c>
      <c r="AB163" s="19">
        <f t="shared" si="55"/>
        <v>126.38652480296565</v>
      </c>
    </row>
    <row r="164" spans="2:28" x14ac:dyDescent="0.3">
      <c r="B164" s="10">
        <v>5420.57</v>
      </c>
      <c r="C164" s="10">
        <v>456</v>
      </c>
      <c r="D164" s="10">
        <f t="shared" si="56"/>
        <v>410.40000000000003</v>
      </c>
      <c r="E164" s="4"/>
      <c r="F164" s="19">
        <f t="shared" si="57"/>
        <v>56.861697521490626</v>
      </c>
      <c r="G164" s="19">
        <f t="shared" si="58"/>
        <v>3.8982738322803923</v>
      </c>
      <c r="H164" s="19">
        <f t="shared" si="50"/>
        <v>406.50172616771965</v>
      </c>
      <c r="J164" s="19">
        <f t="shared" si="59"/>
        <v>37.282622246593043</v>
      </c>
      <c r="K164" s="19">
        <f t="shared" si="60"/>
        <v>1.5001979160357255</v>
      </c>
      <c r="L164" s="19">
        <f t="shared" si="51"/>
        <v>408.89980208396429</v>
      </c>
      <c r="N164" s="19">
        <f t="shared" si="61"/>
        <v>56.465968965130784</v>
      </c>
      <c r="O164" s="19">
        <f t="shared" si="62"/>
        <v>3.8322388315948896</v>
      </c>
      <c r="P164" s="19">
        <f t="shared" si="52"/>
        <v>406.56776116840513</v>
      </c>
      <c r="R164" s="19">
        <f t="shared" si="63"/>
        <v>74.940572905064542</v>
      </c>
      <c r="S164" s="19">
        <f t="shared" si="64"/>
        <v>7.8811560802433567</v>
      </c>
      <c r="T164" s="19">
        <f t="shared" si="53"/>
        <v>402.5188439197567</v>
      </c>
      <c r="V164" s="19">
        <f t="shared" si="65"/>
        <v>89.32916290283697</v>
      </c>
      <c r="W164" s="19">
        <f t="shared" si="66"/>
        <v>12.638139640488546</v>
      </c>
      <c r="X164" s="19">
        <f t="shared" si="54"/>
        <v>397.7618603595115</v>
      </c>
      <c r="Z164" s="19">
        <f t="shared" si="67"/>
        <v>264.41993514867477</v>
      </c>
      <c r="AA164" s="19">
        <f t="shared" si="68"/>
        <v>289.02554957766898</v>
      </c>
      <c r="AB164" s="19">
        <f t="shared" si="55"/>
        <v>121.37445042233105</v>
      </c>
    </row>
    <row r="165" spans="2:28" x14ac:dyDescent="0.3">
      <c r="B165" s="10">
        <v>5465.05</v>
      </c>
      <c r="C165" s="10">
        <v>458.90899999999999</v>
      </c>
      <c r="D165" s="10">
        <f t="shared" si="56"/>
        <v>413.0181</v>
      </c>
      <c r="E165" s="4"/>
      <c r="F165" s="19">
        <f t="shared" si="57"/>
        <v>57.328292050434243</v>
      </c>
      <c r="G165" s="19">
        <f t="shared" si="58"/>
        <v>3.9771891100300647</v>
      </c>
      <c r="H165" s="19">
        <f t="shared" si="50"/>
        <v>409.04091088996995</v>
      </c>
      <c r="J165" s="19">
        <f t="shared" si="59"/>
        <v>37.588555208906691</v>
      </c>
      <c r="K165" s="19">
        <f t="shared" si="60"/>
        <v>1.5257358311792186</v>
      </c>
      <c r="L165" s="19">
        <f t="shared" si="51"/>
        <v>411.49236416882081</v>
      </c>
      <c r="N165" s="19">
        <f t="shared" si="61"/>
        <v>56.929316232958534</v>
      </c>
      <c r="O165" s="19">
        <f t="shared" si="62"/>
        <v>3.9096392812436092</v>
      </c>
      <c r="P165" s="19">
        <f t="shared" si="52"/>
        <v>409.10846071875642</v>
      </c>
      <c r="R165" s="19">
        <f t="shared" si="63"/>
        <v>75.555518691728551</v>
      </c>
      <c r="S165" s="19">
        <f t="shared" si="64"/>
        <v>8.0532541103782176</v>
      </c>
      <c r="T165" s="19">
        <f t="shared" si="53"/>
        <v>404.96484588962181</v>
      </c>
      <c r="V165" s="19">
        <f t="shared" si="65"/>
        <v>90.062178280540451</v>
      </c>
      <c r="W165" s="19">
        <f t="shared" si="66"/>
        <v>12.923791304935691</v>
      </c>
      <c r="X165" s="19">
        <f t="shared" si="54"/>
        <v>400.09430869506434</v>
      </c>
      <c r="Z165" s="19">
        <f t="shared" si="67"/>
        <v>266.58970672535639</v>
      </c>
      <c r="AA165" s="19">
        <f t="shared" si="68"/>
        <v>296.11617554478954</v>
      </c>
      <c r="AB165" s="19">
        <f t="shared" si="55"/>
        <v>116.90192445521046</v>
      </c>
    </row>
    <row r="166" spans="2:28" x14ac:dyDescent="0.3">
      <c r="B166" s="10">
        <v>5515.09</v>
      </c>
      <c r="C166" s="10">
        <v>462.54500000000002</v>
      </c>
      <c r="D166" s="10">
        <f t="shared" si="56"/>
        <v>416.29050000000001</v>
      </c>
      <c r="E166" s="4"/>
      <c r="F166" s="19">
        <f t="shared" si="57"/>
        <v>57.853210895495813</v>
      </c>
      <c r="G166" s="19">
        <f t="shared" si="58"/>
        <v>4.0673444649957595</v>
      </c>
      <c r="H166" s="19">
        <f t="shared" si="50"/>
        <v>412.22315553500425</v>
      </c>
      <c r="J166" s="19">
        <f t="shared" si="59"/>
        <v>37.932729791509544</v>
      </c>
      <c r="K166" s="19">
        <f t="shared" si="60"/>
        <v>1.5548537549648205</v>
      </c>
      <c r="L166" s="19">
        <f t="shared" si="51"/>
        <v>414.73564624503518</v>
      </c>
      <c r="N166" s="19">
        <f t="shared" si="61"/>
        <v>57.450581909264749</v>
      </c>
      <c r="O166" s="19">
        <f t="shared" si="62"/>
        <v>3.9980619321786572</v>
      </c>
      <c r="P166" s="19">
        <f t="shared" si="52"/>
        <v>412.29243806782137</v>
      </c>
      <c r="R166" s="19">
        <f t="shared" si="63"/>
        <v>76.247332701725554</v>
      </c>
      <c r="S166" s="19">
        <f t="shared" si="64"/>
        <v>8.2500136290712334</v>
      </c>
      <c r="T166" s="19">
        <f t="shared" si="53"/>
        <v>408.04048637092876</v>
      </c>
      <c r="V166" s="19">
        <f t="shared" si="65"/>
        <v>90.88682058045687</v>
      </c>
      <c r="W166" s="19">
        <f t="shared" si="66"/>
        <v>13.250483191574972</v>
      </c>
      <c r="X166" s="19">
        <f t="shared" si="54"/>
        <v>403.04001680842504</v>
      </c>
      <c r="Z166" s="19">
        <f t="shared" si="67"/>
        <v>269.03069974912319</v>
      </c>
      <c r="AA166" s="19">
        <f t="shared" si="68"/>
        <v>304.23146619844994</v>
      </c>
      <c r="AB166" s="19">
        <f t="shared" si="55"/>
        <v>112.05903380155007</v>
      </c>
    </row>
    <row r="167" spans="2:28" x14ac:dyDescent="0.3">
      <c r="B167" s="10">
        <v>5559.57</v>
      </c>
      <c r="C167" s="10">
        <v>465.45499999999998</v>
      </c>
      <c r="D167" s="10">
        <f t="shared" si="56"/>
        <v>418.90949999999998</v>
      </c>
      <c r="E167" s="4"/>
      <c r="F167" s="19">
        <f t="shared" si="57"/>
        <v>58.319805424439423</v>
      </c>
      <c r="G167" s="19">
        <f t="shared" si="58"/>
        <v>4.1487157375105301</v>
      </c>
      <c r="H167" s="19">
        <f t="shared" si="50"/>
        <v>414.76078426248944</v>
      </c>
      <c r="J167" s="19">
        <f t="shared" si="59"/>
        <v>38.238662753823178</v>
      </c>
      <c r="K167" s="19">
        <f t="shared" si="60"/>
        <v>1.5810839589411105</v>
      </c>
      <c r="L167" s="19">
        <f t="shared" si="51"/>
        <v>417.32841604105886</v>
      </c>
      <c r="N167" s="19">
        <f t="shared" si="61"/>
        <v>57.913929177092477</v>
      </c>
      <c r="O167" s="19">
        <f t="shared" si="62"/>
        <v>4.0778674551981977</v>
      </c>
      <c r="P167" s="19">
        <f t="shared" si="52"/>
        <v>414.83163254480178</v>
      </c>
      <c r="R167" s="19">
        <f t="shared" si="63"/>
        <v>76.862278488389549</v>
      </c>
      <c r="S167" s="19">
        <f t="shared" si="64"/>
        <v>8.427734023750272</v>
      </c>
      <c r="T167" s="19">
        <f t="shared" si="53"/>
        <v>410.48176597624973</v>
      </c>
      <c r="V167" s="19">
        <f t="shared" si="65"/>
        <v>91.619835958160351</v>
      </c>
      <c r="W167" s="19">
        <f t="shared" si="66"/>
        <v>13.545657285549948</v>
      </c>
      <c r="X167" s="19">
        <f t="shared" si="54"/>
        <v>405.36384271445002</v>
      </c>
      <c r="Z167" s="19">
        <f t="shared" si="67"/>
        <v>271.20047132580481</v>
      </c>
      <c r="AA167" s="19">
        <f t="shared" si="68"/>
        <v>311.56906577999496</v>
      </c>
      <c r="AB167" s="19">
        <f t="shared" si="55"/>
        <v>107.34043422000502</v>
      </c>
    </row>
    <row r="168" spans="2:28" x14ac:dyDescent="0.3">
      <c r="B168" s="10">
        <v>5598.49</v>
      </c>
      <c r="C168" s="10">
        <v>468.36399999999998</v>
      </c>
      <c r="D168" s="10">
        <f t="shared" si="56"/>
        <v>421.52760000000001</v>
      </c>
      <c r="E168" s="4"/>
      <c r="F168" s="19">
        <f t="shared" si="57"/>
        <v>58.728075637265093</v>
      </c>
      <c r="G168" s="19">
        <f t="shared" si="58"/>
        <v>4.2208753691525418</v>
      </c>
      <c r="H168" s="19">
        <f t="shared" si="50"/>
        <v>417.30672463084744</v>
      </c>
      <c r="J168" s="19">
        <f t="shared" si="59"/>
        <v>38.506354095847612</v>
      </c>
      <c r="K168" s="19">
        <f t="shared" si="60"/>
        <v>1.6043059241538105</v>
      </c>
      <c r="L168" s="19">
        <f t="shared" si="51"/>
        <v>419.92329407584617</v>
      </c>
      <c r="N168" s="19">
        <f t="shared" si="61"/>
        <v>58.319358036441756</v>
      </c>
      <c r="O168" s="19">
        <f t="shared" si="62"/>
        <v>4.1486371566676086</v>
      </c>
      <c r="P168" s="19">
        <f t="shared" si="52"/>
        <v>417.37896284333237</v>
      </c>
      <c r="R168" s="19">
        <f t="shared" si="63"/>
        <v>77.40035605172055</v>
      </c>
      <c r="S168" s="19">
        <f t="shared" si="64"/>
        <v>8.5854365100361427</v>
      </c>
      <c r="T168" s="19">
        <f t="shared" si="53"/>
        <v>412.94216348996389</v>
      </c>
      <c r="V168" s="19">
        <f t="shared" si="65"/>
        <v>92.261224413650908</v>
      </c>
      <c r="W168" s="19">
        <f t="shared" si="66"/>
        <v>13.807655849230716</v>
      </c>
      <c r="X168" s="19">
        <f t="shared" si="54"/>
        <v>407.71994415076927</v>
      </c>
      <c r="Z168" s="19">
        <f t="shared" si="67"/>
        <v>273.09902145540121</v>
      </c>
      <c r="AA168" s="19">
        <f t="shared" si="68"/>
        <v>318.08597922676472</v>
      </c>
      <c r="AB168" s="19">
        <f t="shared" si="55"/>
        <v>103.44162077323529</v>
      </c>
    </row>
    <row r="169" spans="2:28" x14ac:dyDescent="0.3">
      <c r="B169" s="10">
        <v>5648.53</v>
      </c>
      <c r="C169" s="10">
        <v>471.27300000000002</v>
      </c>
      <c r="D169" s="10">
        <f t="shared" si="56"/>
        <v>424.14570000000003</v>
      </c>
      <c r="E169" s="4"/>
      <c r="F169" s="19">
        <f t="shared" si="57"/>
        <v>59.252994482326663</v>
      </c>
      <c r="G169" s="19">
        <f t="shared" si="58"/>
        <v>4.3149788262807647</v>
      </c>
      <c r="H169" s="19">
        <f t="shared" si="50"/>
        <v>419.83072117371927</v>
      </c>
      <c r="J169" s="19">
        <f t="shared" si="59"/>
        <v>38.850528678450466</v>
      </c>
      <c r="K169" s="19">
        <f t="shared" si="60"/>
        <v>1.6345367277699003</v>
      </c>
      <c r="L169" s="19">
        <f t="shared" si="51"/>
        <v>422.51116327223014</v>
      </c>
      <c r="N169" s="19">
        <f t="shared" si="61"/>
        <v>58.840623712747963</v>
      </c>
      <c r="O169" s="19">
        <f t="shared" si="62"/>
        <v>4.2409260517458982</v>
      </c>
      <c r="P169" s="19">
        <f t="shared" si="52"/>
        <v>419.90477394825416</v>
      </c>
      <c r="R169" s="19">
        <f t="shared" si="63"/>
        <v>78.092170061717539</v>
      </c>
      <c r="S169" s="19">
        <f t="shared" si="64"/>
        <v>8.7912341870879729</v>
      </c>
      <c r="T169" s="19">
        <f t="shared" si="53"/>
        <v>415.35446581291205</v>
      </c>
      <c r="V169" s="19">
        <f t="shared" si="65"/>
        <v>93.085866713567327</v>
      </c>
      <c r="W169" s="19">
        <f t="shared" si="66"/>
        <v>14.149655392525313</v>
      </c>
      <c r="X169" s="19">
        <f t="shared" si="54"/>
        <v>409.99604460747474</v>
      </c>
      <c r="Z169" s="19">
        <f t="shared" si="67"/>
        <v>275.54001447916806</v>
      </c>
      <c r="AA169" s="19">
        <f t="shared" si="68"/>
        <v>326.59828907405426</v>
      </c>
      <c r="AB169" s="19">
        <f t="shared" si="55"/>
        <v>97.547410925945769</v>
      </c>
    </row>
    <row r="170" spans="2:28" x14ac:dyDescent="0.3">
      <c r="B170" s="10">
        <v>5681.89</v>
      </c>
      <c r="C170" s="10">
        <v>473.45499999999998</v>
      </c>
      <c r="D170" s="10">
        <f t="shared" si="56"/>
        <v>426.10949999999997</v>
      </c>
      <c r="E170" s="4"/>
      <c r="F170" s="19">
        <f t="shared" si="57"/>
        <v>59.602940379034379</v>
      </c>
      <c r="G170" s="19">
        <f t="shared" si="58"/>
        <v>4.3785497420947879</v>
      </c>
      <c r="H170" s="19">
        <f t="shared" si="50"/>
        <v>421.73095025790519</v>
      </c>
      <c r="J170" s="19">
        <f t="shared" si="59"/>
        <v>39.079978400185695</v>
      </c>
      <c r="K170" s="19">
        <f t="shared" si="60"/>
        <v>1.6549260425623944</v>
      </c>
      <c r="L170" s="19">
        <f t="shared" si="51"/>
        <v>424.45457395743756</v>
      </c>
      <c r="N170" s="19">
        <f t="shared" si="61"/>
        <v>59.18813416361877</v>
      </c>
      <c r="O170" s="19">
        <f t="shared" si="62"/>
        <v>4.3032699412867306</v>
      </c>
      <c r="P170" s="19">
        <f t="shared" si="52"/>
        <v>421.80623005871325</v>
      </c>
      <c r="R170" s="19">
        <f t="shared" si="63"/>
        <v>78.55337940171556</v>
      </c>
      <c r="S170" s="19">
        <f t="shared" si="64"/>
        <v>8.9303447906934199</v>
      </c>
      <c r="T170" s="19">
        <f t="shared" si="53"/>
        <v>417.17915520930654</v>
      </c>
      <c r="V170" s="19">
        <f t="shared" si="65"/>
        <v>93.635628246844945</v>
      </c>
      <c r="W170" s="19">
        <f t="shared" si="66"/>
        <v>14.380893642721063</v>
      </c>
      <c r="X170" s="19">
        <f t="shared" si="54"/>
        <v>411.72860635727892</v>
      </c>
      <c r="Z170" s="19">
        <f t="shared" si="67"/>
        <v>277.1673431616793</v>
      </c>
      <c r="AA170" s="19">
        <f t="shared" si="68"/>
        <v>332.35715741933149</v>
      </c>
      <c r="AB170" s="19">
        <f t="shared" si="55"/>
        <v>93.752342580668483</v>
      </c>
    </row>
    <row r="171" spans="2:28" x14ac:dyDescent="0.3">
      <c r="B171" s="10">
        <v>5720.81</v>
      </c>
      <c r="C171" s="10">
        <v>475.63600000000002</v>
      </c>
      <c r="D171" s="10">
        <f t="shared" si="56"/>
        <v>428.07240000000002</v>
      </c>
      <c r="E171" s="4"/>
      <c r="F171" s="19">
        <f t="shared" si="57"/>
        <v>60.011210591860035</v>
      </c>
      <c r="G171" s="19">
        <f t="shared" si="58"/>
        <v>4.4535664715028025</v>
      </c>
      <c r="H171" s="19">
        <f t="shared" si="50"/>
        <v>423.61883352849719</v>
      </c>
      <c r="J171" s="19">
        <f t="shared" si="59"/>
        <v>39.347669742210144</v>
      </c>
      <c r="K171" s="19">
        <f t="shared" si="60"/>
        <v>1.678953358383217</v>
      </c>
      <c r="L171" s="19">
        <f t="shared" si="51"/>
        <v>426.39344664161678</v>
      </c>
      <c r="N171" s="19">
        <f t="shared" si="61"/>
        <v>59.593563022968056</v>
      </c>
      <c r="O171" s="19">
        <f t="shared" si="62"/>
        <v>4.3768375028544275</v>
      </c>
      <c r="P171" s="19">
        <f t="shared" si="52"/>
        <v>423.6955624971456</v>
      </c>
      <c r="R171" s="19">
        <f t="shared" si="63"/>
        <v>79.091456965046547</v>
      </c>
      <c r="S171" s="19">
        <f t="shared" si="64"/>
        <v>9.0945878630616033</v>
      </c>
      <c r="T171" s="19">
        <f t="shared" si="53"/>
        <v>418.97781213693844</v>
      </c>
      <c r="V171" s="19">
        <f t="shared" si="65"/>
        <v>94.277016702335516</v>
      </c>
      <c r="W171" s="19">
        <f t="shared" si="66"/>
        <v>14.653969800099327</v>
      </c>
      <c r="X171" s="19">
        <f t="shared" si="54"/>
        <v>413.41843019990068</v>
      </c>
      <c r="Z171" s="19">
        <f t="shared" si="67"/>
        <v>279.0658932912757</v>
      </c>
      <c r="AA171" s="19">
        <f t="shared" si="68"/>
        <v>339.16137919918964</v>
      </c>
      <c r="AB171" s="19">
        <f t="shared" si="55"/>
        <v>88.911020800810377</v>
      </c>
    </row>
    <row r="172" spans="2:28" x14ac:dyDescent="0.3">
      <c r="B172" s="10">
        <v>5759.73</v>
      </c>
      <c r="C172" s="10">
        <v>478.54500000000002</v>
      </c>
      <c r="D172" s="10">
        <f t="shared" si="56"/>
        <v>430.69050000000004</v>
      </c>
      <c r="F172" s="19">
        <f t="shared" si="57"/>
        <v>60.419480804685705</v>
      </c>
      <c r="G172" s="19">
        <f t="shared" si="58"/>
        <v>4.529505271671936</v>
      </c>
      <c r="H172" s="19">
        <f t="shared" ref="H172:H201" si="69">$D172-G172</f>
        <v>426.16099472832809</v>
      </c>
      <c r="J172" s="19">
        <f t="shared" si="59"/>
        <v>39.615361084234571</v>
      </c>
      <c r="K172" s="19">
        <f t="shared" si="60"/>
        <v>1.7032405848927912</v>
      </c>
      <c r="L172" s="19">
        <f t="shared" ref="L172:L201" si="70">$D172-K172</f>
        <v>428.98725941510725</v>
      </c>
      <c r="N172" s="19">
        <f t="shared" si="61"/>
        <v>59.998991882317313</v>
      </c>
      <c r="O172" s="19">
        <f t="shared" si="62"/>
        <v>4.4513080174190431</v>
      </c>
      <c r="P172" s="19">
        <f t="shared" ref="P172:P201" si="71">$D172-O172</f>
        <v>426.23919198258102</v>
      </c>
      <c r="R172" s="19">
        <f t="shared" si="63"/>
        <v>79.629534528377548</v>
      </c>
      <c r="S172" s="19">
        <f t="shared" si="64"/>
        <v>9.2609417778583616</v>
      </c>
      <c r="T172" s="19">
        <f t="shared" ref="T172:T201" si="72">$D172-S172</f>
        <v>421.42955822214168</v>
      </c>
      <c r="V172" s="19">
        <f t="shared" si="65"/>
        <v>94.918405157826044</v>
      </c>
      <c r="W172" s="19">
        <f t="shared" si="66"/>
        <v>14.930621027737166</v>
      </c>
      <c r="X172" s="19">
        <f t="shared" ref="X172:X201" si="73">$D172-W172</f>
        <v>415.75987897226287</v>
      </c>
      <c r="Z172" s="19">
        <f t="shared" si="67"/>
        <v>280.9644434208721</v>
      </c>
      <c r="AA172" s="19">
        <f t="shared" si="68"/>
        <v>346.05832395707051</v>
      </c>
      <c r="AB172" s="19">
        <f t="shared" ref="AB172:AB201" si="74">$D172-AA172</f>
        <v>84.63217604292953</v>
      </c>
    </row>
    <row r="173" spans="2:28" x14ac:dyDescent="0.3">
      <c r="B173" s="10">
        <v>5793.09</v>
      </c>
      <c r="C173" s="10">
        <v>480.72699999999998</v>
      </c>
      <c r="D173" s="10">
        <f t="shared" si="56"/>
        <v>432.65429999999998</v>
      </c>
      <c r="F173" s="19">
        <f t="shared" si="57"/>
        <v>60.769426701393428</v>
      </c>
      <c r="G173" s="19">
        <f t="shared" si="58"/>
        <v>4.5953343199621646</v>
      </c>
      <c r="H173" s="19">
        <f t="shared" si="69"/>
        <v>428.05896568003783</v>
      </c>
      <c r="J173" s="19">
        <f t="shared" si="59"/>
        <v>39.8448108059698</v>
      </c>
      <c r="K173" s="19">
        <f t="shared" si="60"/>
        <v>1.7242664156577421</v>
      </c>
      <c r="L173" s="19">
        <f t="shared" si="70"/>
        <v>430.93003358434225</v>
      </c>
      <c r="N173" s="19">
        <f t="shared" si="61"/>
        <v>60.346502333188127</v>
      </c>
      <c r="O173" s="19">
        <f t="shared" si="62"/>
        <v>4.5158632204217373</v>
      </c>
      <c r="P173" s="19">
        <f t="shared" si="71"/>
        <v>428.13843677957823</v>
      </c>
      <c r="R173" s="19">
        <f t="shared" si="63"/>
        <v>80.090743868375554</v>
      </c>
      <c r="S173" s="19">
        <f t="shared" si="64"/>
        <v>9.4052217914929717</v>
      </c>
      <c r="T173" s="19">
        <f t="shared" si="72"/>
        <v>423.249078208507</v>
      </c>
      <c r="V173" s="19">
        <f t="shared" si="65"/>
        <v>95.468166691103676</v>
      </c>
      <c r="W173" s="19">
        <f t="shared" si="66"/>
        <v>15.170614552038041</v>
      </c>
      <c r="X173" s="19">
        <f t="shared" si="73"/>
        <v>417.48368544796193</v>
      </c>
      <c r="Z173" s="19">
        <f t="shared" si="67"/>
        <v>282.59177210338328</v>
      </c>
      <c r="AA173" s="19">
        <f t="shared" si="68"/>
        <v>352.04426898321969</v>
      </c>
      <c r="AB173" s="19">
        <f t="shared" si="74"/>
        <v>80.610031016780283</v>
      </c>
    </row>
    <row r="174" spans="2:28" x14ac:dyDescent="0.3">
      <c r="B174" s="10">
        <v>5832.01</v>
      </c>
      <c r="C174" s="10">
        <v>482.90899999999999</v>
      </c>
      <c r="D174" s="10">
        <f t="shared" si="56"/>
        <v>434.61810000000003</v>
      </c>
      <c r="F174" s="19">
        <f t="shared" si="57"/>
        <v>61.177696914219084</v>
      </c>
      <c r="G174" s="19">
        <f t="shared" si="58"/>
        <v>4.6730021800758008</v>
      </c>
      <c r="H174" s="19">
        <f t="shared" si="69"/>
        <v>429.94509781992423</v>
      </c>
      <c r="J174" s="19">
        <f t="shared" si="59"/>
        <v>40.112502147994242</v>
      </c>
      <c r="K174" s="19">
        <f t="shared" si="60"/>
        <v>1.7490410246763637</v>
      </c>
      <c r="L174" s="19">
        <f t="shared" si="70"/>
        <v>432.86905897532364</v>
      </c>
      <c r="N174" s="19">
        <f t="shared" si="61"/>
        <v>60.751931192537405</v>
      </c>
      <c r="O174" s="19">
        <f t="shared" si="62"/>
        <v>4.5920269454476301</v>
      </c>
      <c r="P174" s="19">
        <f t="shared" si="71"/>
        <v>430.0260730545524</v>
      </c>
      <c r="R174" s="19">
        <f t="shared" si="63"/>
        <v>80.628821431706541</v>
      </c>
      <c r="S174" s="19">
        <f t="shared" si="64"/>
        <v>9.575533941651182</v>
      </c>
      <c r="T174" s="19">
        <f t="shared" si="72"/>
        <v>425.04256605834883</v>
      </c>
      <c r="V174" s="19">
        <f t="shared" si="65"/>
        <v>96.109555146594218</v>
      </c>
      <c r="W174" s="19">
        <f t="shared" si="66"/>
        <v>15.453969723717192</v>
      </c>
      <c r="X174" s="19">
        <f t="shared" si="73"/>
        <v>419.16413027628283</v>
      </c>
      <c r="Z174" s="19">
        <f t="shared" si="67"/>
        <v>284.49032223297974</v>
      </c>
      <c r="AA174" s="19">
        <f t="shared" si="68"/>
        <v>359.11508715081629</v>
      </c>
      <c r="AB174" s="19">
        <f t="shared" si="74"/>
        <v>75.503012849183733</v>
      </c>
    </row>
    <row r="175" spans="2:28" x14ac:dyDescent="0.3">
      <c r="B175" s="10">
        <v>5870.93</v>
      </c>
      <c r="C175" s="10">
        <v>484.36399999999998</v>
      </c>
      <c r="D175" s="10">
        <f t="shared" si="56"/>
        <v>435.92759999999998</v>
      </c>
      <c r="F175" s="19">
        <f t="shared" si="57"/>
        <v>61.585967127044754</v>
      </c>
      <c r="G175" s="19">
        <f t="shared" si="58"/>
        <v>4.751610033983944</v>
      </c>
      <c r="H175" s="19">
        <f t="shared" si="69"/>
        <v>431.17598996601606</v>
      </c>
      <c r="J175" s="19">
        <f t="shared" si="59"/>
        <v>40.380193490018677</v>
      </c>
      <c r="K175" s="19">
        <f t="shared" si="60"/>
        <v>1.774080596477513</v>
      </c>
      <c r="L175" s="19">
        <f t="shared" si="70"/>
        <v>434.15351940352247</v>
      </c>
      <c r="N175" s="19">
        <f t="shared" si="61"/>
        <v>61.15736005188667</v>
      </c>
      <c r="O175" s="19">
        <f t="shared" si="62"/>
        <v>4.6691111748964245</v>
      </c>
      <c r="P175" s="19">
        <f t="shared" si="71"/>
        <v>431.25848882510354</v>
      </c>
      <c r="R175" s="19">
        <f t="shared" si="63"/>
        <v>81.166898995037556</v>
      </c>
      <c r="S175" s="19">
        <f t="shared" si="64"/>
        <v>9.7479979643854602</v>
      </c>
      <c r="T175" s="19">
        <f t="shared" si="72"/>
        <v>426.17960203561455</v>
      </c>
      <c r="V175" s="19">
        <f t="shared" si="65"/>
        <v>96.750943602084774</v>
      </c>
      <c r="W175" s="19">
        <f t="shared" si="66"/>
        <v>15.740969457181247</v>
      </c>
      <c r="X175" s="19">
        <f t="shared" si="73"/>
        <v>420.18663054281876</v>
      </c>
      <c r="Z175" s="19">
        <f t="shared" si="67"/>
        <v>286.38887236257614</v>
      </c>
      <c r="AA175" s="19">
        <f t="shared" si="68"/>
        <v>366.28043062777601</v>
      </c>
      <c r="AB175" s="19">
        <f t="shared" si="74"/>
        <v>69.647169372223971</v>
      </c>
    </row>
    <row r="176" spans="2:28" x14ac:dyDescent="0.3">
      <c r="B176" s="10">
        <v>5909.85</v>
      </c>
      <c r="C176" s="10">
        <v>485.81799999999998</v>
      </c>
      <c r="D176" s="10">
        <f t="shared" si="56"/>
        <v>437.2362</v>
      </c>
      <c r="F176" s="19">
        <f t="shared" si="57"/>
        <v>61.994237339870423</v>
      </c>
      <c r="G176" s="19">
        <f t="shared" si="58"/>
        <v>4.8311641547482775</v>
      </c>
      <c r="H176" s="19">
        <f t="shared" si="69"/>
        <v>432.40503584525175</v>
      </c>
      <c r="J176" s="19">
        <f t="shared" si="59"/>
        <v>40.647884832043111</v>
      </c>
      <c r="K176" s="19">
        <f t="shared" si="60"/>
        <v>1.7993868992940119</v>
      </c>
      <c r="L176" s="19">
        <f t="shared" si="70"/>
        <v>435.43681310070599</v>
      </c>
      <c r="N176" s="19">
        <f t="shared" si="61"/>
        <v>61.562788911235948</v>
      </c>
      <c r="O176" s="19">
        <f t="shared" si="62"/>
        <v>4.7471220517672199</v>
      </c>
      <c r="P176" s="19">
        <f t="shared" si="71"/>
        <v>432.48907794823276</v>
      </c>
      <c r="R176" s="19">
        <f t="shared" si="63"/>
        <v>81.704976558368557</v>
      </c>
      <c r="S176" s="19">
        <f t="shared" si="64"/>
        <v>9.9226282202474252</v>
      </c>
      <c r="T176" s="19">
        <f t="shared" si="72"/>
        <v>427.31357177975258</v>
      </c>
      <c r="V176" s="19">
        <f t="shared" si="65"/>
        <v>97.392332057575331</v>
      </c>
      <c r="W176" s="19">
        <f t="shared" si="66"/>
        <v>16.031638074464041</v>
      </c>
      <c r="X176" s="19">
        <f t="shared" si="73"/>
        <v>421.20456192553593</v>
      </c>
      <c r="Z176" s="19">
        <f t="shared" si="67"/>
        <v>288.2874224921726</v>
      </c>
      <c r="AA176" s="19">
        <f t="shared" si="68"/>
        <v>373.54093023006828</v>
      </c>
      <c r="AB176" s="19">
        <f t="shared" si="74"/>
        <v>63.695269769931713</v>
      </c>
    </row>
    <row r="177" spans="2:28" x14ac:dyDescent="0.3">
      <c r="B177" s="10">
        <v>5948.77</v>
      </c>
      <c r="C177" s="10">
        <v>487.27300000000002</v>
      </c>
      <c r="D177" s="10">
        <f t="shared" si="56"/>
        <v>438.54570000000001</v>
      </c>
      <c r="F177" s="19">
        <f t="shared" si="57"/>
        <v>62.402507552696079</v>
      </c>
      <c r="G177" s="19">
        <f t="shared" si="58"/>
        <v>4.9116708154304867</v>
      </c>
      <c r="H177" s="19">
        <f t="shared" si="69"/>
        <v>433.6340291845695</v>
      </c>
      <c r="J177" s="19">
        <f t="shared" si="59"/>
        <v>40.915576174067553</v>
      </c>
      <c r="K177" s="19">
        <f t="shared" si="60"/>
        <v>1.8249617013586814</v>
      </c>
      <c r="L177" s="19">
        <f t="shared" si="70"/>
        <v>436.72073829864132</v>
      </c>
      <c r="N177" s="19">
        <f t="shared" si="61"/>
        <v>61.968217770585213</v>
      </c>
      <c r="O177" s="19">
        <f t="shared" si="62"/>
        <v>4.8260657190591045</v>
      </c>
      <c r="P177" s="19">
        <f t="shared" si="71"/>
        <v>433.71963428094091</v>
      </c>
      <c r="R177" s="19">
        <f t="shared" si="63"/>
        <v>82.243054121699544</v>
      </c>
      <c r="S177" s="19">
        <f t="shared" si="64"/>
        <v>10.099439069788694</v>
      </c>
      <c r="T177" s="19">
        <f t="shared" si="72"/>
        <v>428.44626093021134</v>
      </c>
      <c r="V177" s="19">
        <f t="shared" si="65"/>
        <v>98.033720513065873</v>
      </c>
      <c r="W177" s="19">
        <f t="shared" si="66"/>
        <v>16.325999897599452</v>
      </c>
      <c r="X177" s="19">
        <f t="shared" si="73"/>
        <v>422.21970010240057</v>
      </c>
      <c r="Z177" s="19">
        <f t="shared" si="67"/>
        <v>290.18597262176894</v>
      </c>
      <c r="AA177" s="19">
        <f t="shared" si="68"/>
        <v>380.8972167736618</v>
      </c>
      <c r="AB177" s="19">
        <f t="shared" si="74"/>
        <v>57.648483226338215</v>
      </c>
    </row>
    <row r="178" spans="2:28" x14ac:dyDescent="0.3">
      <c r="B178" s="10">
        <v>5998.81</v>
      </c>
      <c r="C178" s="10">
        <v>489.45499999999998</v>
      </c>
      <c r="D178" s="10">
        <f t="shared" si="56"/>
        <v>440.5095</v>
      </c>
      <c r="F178" s="19">
        <f t="shared" si="57"/>
        <v>62.92742639775765</v>
      </c>
      <c r="G178" s="19">
        <f t="shared" si="58"/>
        <v>5.0165891250792178</v>
      </c>
      <c r="H178" s="19">
        <f t="shared" si="69"/>
        <v>435.49291087492077</v>
      </c>
      <c r="J178" s="19">
        <f t="shared" si="59"/>
        <v>41.259750756670392</v>
      </c>
      <c r="K178" s="19">
        <f t="shared" si="60"/>
        <v>1.8582409649042044</v>
      </c>
      <c r="L178" s="19">
        <f t="shared" si="70"/>
        <v>438.65125903509579</v>
      </c>
      <c r="N178" s="19">
        <f t="shared" si="61"/>
        <v>62.489483446891427</v>
      </c>
      <c r="O178" s="19">
        <f t="shared" si="62"/>
        <v>4.9289452367951139</v>
      </c>
      <c r="P178" s="19">
        <f t="shared" si="71"/>
        <v>435.58055476320487</v>
      </c>
      <c r="R178" s="19">
        <f t="shared" si="63"/>
        <v>82.934868131696547</v>
      </c>
      <c r="S178" s="19">
        <f t="shared" si="64"/>
        <v>10.329994553422997</v>
      </c>
      <c r="T178" s="19">
        <f t="shared" si="72"/>
        <v>430.17950544657702</v>
      </c>
      <c r="V178" s="19">
        <f t="shared" si="65"/>
        <v>98.858362812982293</v>
      </c>
      <c r="W178" s="19">
        <f t="shared" si="66"/>
        <v>16.709930992395709</v>
      </c>
      <c r="X178" s="19">
        <f t="shared" si="73"/>
        <v>423.7995690076043</v>
      </c>
      <c r="Z178" s="19">
        <f t="shared" si="67"/>
        <v>292.62696564553573</v>
      </c>
      <c r="AA178" s="19">
        <f t="shared" si="68"/>
        <v>390.49706282192972</v>
      </c>
      <c r="AB178" s="19">
        <f t="shared" si="74"/>
        <v>50.012437178070286</v>
      </c>
    </row>
    <row r="179" spans="2:28" x14ac:dyDescent="0.3">
      <c r="B179" s="10">
        <v>6032.17</v>
      </c>
      <c r="C179" s="10">
        <v>490.18200000000002</v>
      </c>
      <c r="D179" s="10">
        <f t="shared" si="56"/>
        <v>441.16380000000004</v>
      </c>
      <c r="F179" s="19">
        <f t="shared" si="57"/>
        <v>63.277372294465358</v>
      </c>
      <c r="G179" s="19">
        <f t="shared" si="58"/>
        <v>5.0874217913487358</v>
      </c>
      <c r="H179" s="19">
        <f t="shared" si="69"/>
        <v>436.07637820865131</v>
      </c>
      <c r="J179" s="19">
        <f t="shared" si="59"/>
        <v>41.489200478405635</v>
      </c>
      <c r="K179" s="19">
        <f t="shared" si="60"/>
        <v>1.8806772013018862</v>
      </c>
      <c r="L179" s="19">
        <f t="shared" si="70"/>
        <v>439.28312279869817</v>
      </c>
      <c r="N179" s="19">
        <f t="shared" si="61"/>
        <v>62.836993897762227</v>
      </c>
      <c r="O179" s="19">
        <f t="shared" si="62"/>
        <v>4.9984003152091017</v>
      </c>
      <c r="P179" s="19">
        <f t="shared" si="71"/>
        <v>436.16539968479094</v>
      </c>
      <c r="R179" s="19">
        <f t="shared" si="63"/>
        <v>83.396077471694539</v>
      </c>
      <c r="S179" s="19">
        <f t="shared" si="64"/>
        <v>10.485729055771987</v>
      </c>
      <c r="T179" s="19">
        <f t="shared" si="72"/>
        <v>430.67807094422807</v>
      </c>
      <c r="V179" s="19">
        <f t="shared" si="65"/>
        <v>99.408124346259896</v>
      </c>
      <c r="W179" s="19">
        <f t="shared" si="66"/>
        <v>16.969324639314557</v>
      </c>
      <c r="X179" s="19">
        <f t="shared" si="73"/>
        <v>424.19447536068549</v>
      </c>
      <c r="Z179" s="19">
        <f t="shared" si="67"/>
        <v>294.25429432804697</v>
      </c>
      <c r="AA179" s="19">
        <f t="shared" si="68"/>
        <v>396.98616918828463</v>
      </c>
      <c r="AB179" s="19">
        <f t="shared" si="74"/>
        <v>44.177630811715403</v>
      </c>
    </row>
    <row r="180" spans="2:28" x14ac:dyDescent="0.3">
      <c r="B180" s="10">
        <v>6076.65</v>
      </c>
      <c r="C180" s="10">
        <v>492.36399999999998</v>
      </c>
      <c r="D180" s="10">
        <f t="shared" si="56"/>
        <v>443.12759999999997</v>
      </c>
      <c r="F180" s="19">
        <f t="shared" si="57"/>
        <v>63.743966823408968</v>
      </c>
      <c r="G180" s="19">
        <f t="shared" si="58"/>
        <v>5.1829771780193878</v>
      </c>
      <c r="H180" s="19">
        <f t="shared" si="69"/>
        <v>437.9446228219806</v>
      </c>
      <c r="J180" s="19">
        <f t="shared" si="59"/>
        <v>41.795133440719269</v>
      </c>
      <c r="K180" s="19">
        <f t="shared" si="60"/>
        <v>1.910905583113401</v>
      </c>
      <c r="L180" s="19">
        <f t="shared" si="70"/>
        <v>441.21669441688658</v>
      </c>
      <c r="N180" s="19">
        <f t="shared" si="61"/>
        <v>63.30034116558997</v>
      </c>
      <c r="O180" s="19">
        <f t="shared" si="62"/>
        <v>5.0920958658988438</v>
      </c>
      <c r="P180" s="19">
        <f t="shared" si="71"/>
        <v>438.03550413410113</v>
      </c>
      <c r="R180" s="19">
        <f t="shared" si="63"/>
        <v>84.011023258358534</v>
      </c>
      <c r="S180" s="19">
        <f t="shared" si="64"/>
        <v>10.69592030977612</v>
      </c>
      <c r="T180" s="19">
        <f t="shared" si="72"/>
        <v>432.43167969022386</v>
      </c>
      <c r="V180" s="19">
        <f t="shared" si="65"/>
        <v>100.14113972396339</v>
      </c>
      <c r="W180" s="19">
        <f t="shared" si="66"/>
        <v>17.319493649965928</v>
      </c>
      <c r="X180" s="19">
        <f t="shared" si="73"/>
        <v>425.80810635003405</v>
      </c>
      <c r="Z180" s="19">
        <f t="shared" si="67"/>
        <v>296.42406590472859</v>
      </c>
      <c r="AA180" s="19">
        <f t="shared" si="68"/>
        <v>405.75011624836293</v>
      </c>
      <c r="AB180" s="19">
        <f t="shared" si="74"/>
        <v>37.377483751637044</v>
      </c>
    </row>
    <row r="181" spans="2:28" x14ac:dyDescent="0.3">
      <c r="B181" s="10">
        <v>6132.25</v>
      </c>
      <c r="C181" s="10">
        <v>494.54500000000002</v>
      </c>
      <c r="D181" s="10">
        <f t="shared" si="56"/>
        <v>445.09050000000002</v>
      </c>
      <c r="F181" s="19">
        <f t="shared" si="57"/>
        <v>64.327209984588492</v>
      </c>
      <c r="G181" s="19">
        <f t="shared" si="58"/>
        <v>5.3042214515866117</v>
      </c>
      <c r="H181" s="19">
        <f t="shared" si="69"/>
        <v>439.78627854841341</v>
      </c>
      <c r="J181" s="19">
        <f t="shared" si="59"/>
        <v>42.177549643611329</v>
      </c>
      <c r="K181" s="19">
        <f t="shared" si="60"/>
        <v>1.9491984506079256</v>
      </c>
      <c r="L181" s="19">
        <f t="shared" si="70"/>
        <v>443.1413015493921</v>
      </c>
      <c r="N181" s="19">
        <f t="shared" si="61"/>
        <v>63.879525250374648</v>
      </c>
      <c r="O181" s="19">
        <f t="shared" si="62"/>
        <v>5.2109780233361889</v>
      </c>
      <c r="P181" s="19">
        <f t="shared" si="71"/>
        <v>439.87952197666385</v>
      </c>
      <c r="R181" s="19">
        <f t="shared" si="63"/>
        <v>84.779705491688532</v>
      </c>
      <c r="S181" s="19">
        <f t="shared" si="64"/>
        <v>10.962780103638249</v>
      </c>
      <c r="T181" s="19">
        <f t="shared" si="72"/>
        <v>434.12771989636178</v>
      </c>
      <c r="V181" s="19">
        <f t="shared" si="65"/>
        <v>101.05740894609274</v>
      </c>
      <c r="W181" s="19">
        <f t="shared" si="66"/>
        <v>17.764184063427614</v>
      </c>
      <c r="X181" s="19">
        <f t="shared" si="73"/>
        <v>427.32631593657243</v>
      </c>
      <c r="Z181" s="19">
        <f t="shared" si="67"/>
        <v>299.13628037558061</v>
      </c>
      <c r="AA181" s="19">
        <f t="shared" si="68"/>
        <v>416.886061225341</v>
      </c>
      <c r="AB181" s="19">
        <f t="shared" si="74"/>
        <v>28.204438774659025</v>
      </c>
    </row>
    <row r="182" spans="2:28" x14ac:dyDescent="0.3">
      <c r="B182" s="10">
        <v>6198.97</v>
      </c>
      <c r="C182" s="10">
        <v>496.72699999999998</v>
      </c>
      <c r="D182" s="10">
        <f t="shared" si="56"/>
        <v>447.05430000000001</v>
      </c>
      <c r="F182" s="19">
        <f t="shared" si="57"/>
        <v>65.027101778003924</v>
      </c>
      <c r="G182" s="19">
        <f t="shared" si="58"/>
        <v>5.452378780098325</v>
      </c>
      <c r="H182" s="19">
        <f t="shared" si="69"/>
        <v>441.60192121990167</v>
      </c>
      <c r="J182" s="19">
        <f t="shared" si="59"/>
        <v>42.636449087081793</v>
      </c>
      <c r="K182" s="19">
        <f t="shared" si="60"/>
        <v>1.9959008687998798</v>
      </c>
      <c r="L182" s="19">
        <f t="shared" si="70"/>
        <v>445.05839913120013</v>
      </c>
      <c r="N182" s="19">
        <f t="shared" si="61"/>
        <v>64.574546152116255</v>
      </c>
      <c r="O182" s="19">
        <f t="shared" si="62"/>
        <v>5.3562455742674722</v>
      </c>
      <c r="P182" s="19">
        <f t="shared" si="71"/>
        <v>441.69805442573255</v>
      </c>
      <c r="R182" s="19">
        <f t="shared" si="63"/>
        <v>85.702124171684531</v>
      </c>
      <c r="S182" s="19">
        <f t="shared" si="64"/>
        <v>11.289110853359638</v>
      </c>
      <c r="T182" s="19">
        <f t="shared" si="72"/>
        <v>435.76518914664035</v>
      </c>
      <c r="V182" s="19">
        <f t="shared" si="65"/>
        <v>102.15693201264799</v>
      </c>
      <c r="W182" s="19">
        <f t="shared" si="66"/>
        <v>18.308142247294608</v>
      </c>
      <c r="X182" s="19">
        <f t="shared" si="73"/>
        <v>428.74615775270541</v>
      </c>
      <c r="Z182" s="19">
        <f t="shared" si="67"/>
        <v>302.39093774060308</v>
      </c>
      <c r="AA182" s="19">
        <f t="shared" si="68"/>
        <v>430.5171058504414</v>
      </c>
      <c r="AB182" s="19">
        <f t="shared" si="74"/>
        <v>16.537194149558616</v>
      </c>
    </row>
    <row r="183" spans="2:28" x14ac:dyDescent="0.3">
      <c r="B183" s="10">
        <v>6243.45</v>
      </c>
      <c r="C183" s="10">
        <v>498.90899999999999</v>
      </c>
      <c r="D183" s="10">
        <f t="shared" si="56"/>
        <v>449.0181</v>
      </c>
      <c r="F183" s="19">
        <f t="shared" si="57"/>
        <v>65.493696306947541</v>
      </c>
      <c r="G183" s="19">
        <f t="shared" si="58"/>
        <v>5.5527796302938173</v>
      </c>
      <c r="H183" s="19">
        <f t="shared" si="69"/>
        <v>443.46532036970621</v>
      </c>
      <c r="J183" s="19">
        <f t="shared" si="59"/>
        <v>42.942382049395427</v>
      </c>
      <c r="K183" s="19">
        <f t="shared" si="60"/>
        <v>2.0274950761154407</v>
      </c>
      <c r="L183" s="19">
        <f t="shared" si="70"/>
        <v>446.99060492388458</v>
      </c>
      <c r="N183" s="19">
        <f t="shared" si="61"/>
        <v>65.037893419944012</v>
      </c>
      <c r="O183" s="19">
        <f t="shared" si="62"/>
        <v>5.45468612501117</v>
      </c>
      <c r="P183" s="19">
        <f t="shared" si="71"/>
        <v>443.56341387498884</v>
      </c>
      <c r="R183" s="19">
        <f t="shared" si="63"/>
        <v>86.317069958348526</v>
      </c>
      <c r="S183" s="19">
        <f t="shared" si="64"/>
        <v>11.51039454237598</v>
      </c>
      <c r="T183" s="19">
        <f t="shared" si="72"/>
        <v>437.50770545762401</v>
      </c>
      <c r="V183" s="19">
        <f t="shared" si="65"/>
        <v>102.88994739035147</v>
      </c>
      <c r="W183" s="19">
        <f t="shared" si="66"/>
        <v>18.677098181110761</v>
      </c>
      <c r="X183" s="19">
        <f t="shared" si="73"/>
        <v>430.34100181888925</v>
      </c>
      <c r="Z183" s="19">
        <f t="shared" si="67"/>
        <v>304.56070931728465</v>
      </c>
      <c r="AA183" s="19">
        <f t="shared" si="68"/>
        <v>439.76831031729324</v>
      </c>
      <c r="AB183" s="19">
        <f t="shared" si="74"/>
        <v>9.2497896827067621</v>
      </c>
    </row>
    <row r="184" spans="2:28" x14ac:dyDescent="0.3">
      <c r="B184" s="10">
        <v>6276.81</v>
      </c>
      <c r="C184" s="10">
        <v>499.63600000000002</v>
      </c>
      <c r="D184" s="10">
        <f t="shared" si="56"/>
        <v>449.67240000000004</v>
      </c>
      <c r="F184" s="19">
        <f t="shared" si="57"/>
        <v>65.843642203655264</v>
      </c>
      <c r="G184" s="19">
        <f t="shared" si="58"/>
        <v>5.6289423064406652</v>
      </c>
      <c r="H184" s="19">
        <f t="shared" si="69"/>
        <v>444.04345769355939</v>
      </c>
      <c r="J184" s="19">
        <f t="shared" si="59"/>
        <v>43.171831771130663</v>
      </c>
      <c r="K184" s="19">
        <f t="shared" si="60"/>
        <v>2.0514337205675726</v>
      </c>
      <c r="L184" s="19">
        <f t="shared" si="70"/>
        <v>447.62096627943248</v>
      </c>
      <c r="N184" s="19">
        <f t="shared" si="61"/>
        <v>65.385403870814812</v>
      </c>
      <c r="O184" s="19">
        <f t="shared" si="62"/>
        <v>5.5293607034845085</v>
      </c>
      <c r="P184" s="19">
        <f t="shared" si="71"/>
        <v>444.14303929651555</v>
      </c>
      <c r="R184" s="19">
        <f t="shared" si="63"/>
        <v>86.778279298346547</v>
      </c>
      <c r="S184" s="19">
        <f t="shared" si="64"/>
        <v>11.678330723238416</v>
      </c>
      <c r="T184" s="19">
        <f t="shared" si="72"/>
        <v>437.99406927676165</v>
      </c>
      <c r="V184" s="19">
        <f t="shared" si="65"/>
        <v>103.43970892362908</v>
      </c>
      <c r="W184" s="19">
        <f t="shared" si="66"/>
        <v>18.957157443510884</v>
      </c>
      <c r="X184" s="19">
        <f t="shared" si="73"/>
        <v>430.71524255648916</v>
      </c>
      <c r="Z184" s="19">
        <f t="shared" si="67"/>
        <v>306.18803799979588</v>
      </c>
      <c r="AA184" s="19">
        <f t="shared" si="68"/>
        <v>446.79339983109952</v>
      </c>
      <c r="AB184" s="19">
        <f t="shared" si="74"/>
        <v>2.879000168900518</v>
      </c>
    </row>
    <row r="185" spans="2:28" x14ac:dyDescent="0.3">
      <c r="B185" s="13">
        <v>6293.49</v>
      </c>
      <c r="C185" s="13">
        <v>500.36399999999998</v>
      </c>
      <c r="D185" s="13">
        <f t="shared" si="56"/>
        <v>450.32759999999996</v>
      </c>
      <c r="E185" s="4"/>
      <c r="F185" s="19">
        <f t="shared" si="57"/>
        <v>66.018615152009104</v>
      </c>
      <c r="G185" s="22">
        <f t="shared" si="58"/>
        <v>5.6673021274116602</v>
      </c>
      <c r="H185" s="22">
        <f t="shared" si="69"/>
        <v>444.66029787258827</v>
      </c>
      <c r="J185" s="19">
        <f t="shared" si="59"/>
        <v>43.286556631998273</v>
      </c>
      <c r="K185" s="22">
        <f t="shared" si="60"/>
        <v>2.0634815407623055</v>
      </c>
      <c r="L185" s="22">
        <f t="shared" si="70"/>
        <v>448.26411845923764</v>
      </c>
      <c r="N185" s="19">
        <f t="shared" si="61"/>
        <v>65.559159096250212</v>
      </c>
      <c r="O185" s="22">
        <f t="shared" si="62"/>
        <v>5.5669707016905559</v>
      </c>
      <c r="P185" s="19">
        <f t="shared" si="71"/>
        <v>444.76062929830942</v>
      </c>
      <c r="R185" s="19">
        <f t="shared" si="63"/>
        <v>87.008883968345529</v>
      </c>
      <c r="S185" s="22">
        <f t="shared" si="64"/>
        <v>11.762936328208228</v>
      </c>
      <c r="T185" s="22">
        <f t="shared" si="72"/>
        <v>438.56466367179172</v>
      </c>
      <c r="V185" s="19">
        <f t="shared" si="65"/>
        <v>103.71458969026789</v>
      </c>
      <c r="W185" s="22">
        <f t="shared" si="66"/>
        <v>19.098266813888138</v>
      </c>
      <c r="X185" s="22">
        <f t="shared" si="73"/>
        <v>431.22933318611183</v>
      </c>
      <c r="Z185" s="19">
        <f t="shared" si="67"/>
        <v>307.00170234105144</v>
      </c>
      <c r="AA185" s="22">
        <f t="shared" si="68"/>
        <v>450.33394868994418</v>
      </c>
      <c r="AB185" s="22">
        <f t="shared" si="74"/>
        <v>-6.3486899442182221E-3</v>
      </c>
    </row>
    <row r="186" spans="2:28" x14ac:dyDescent="0.3">
      <c r="B186" s="10">
        <v>6315.73</v>
      </c>
      <c r="C186" s="10">
        <v>499.63600000000002</v>
      </c>
      <c r="D186" s="10">
        <f t="shared" si="56"/>
        <v>449.67240000000004</v>
      </c>
      <c r="E186" s="4"/>
      <c r="F186" s="19">
        <f t="shared" si="57"/>
        <v>66.251912416480906</v>
      </c>
      <c r="G186" s="19">
        <f t="shared" si="58"/>
        <v>5.7187384619730723</v>
      </c>
      <c r="H186" s="19">
        <f t="shared" si="69"/>
        <v>443.95366153802695</v>
      </c>
      <c r="J186" s="19">
        <f t="shared" si="59"/>
        <v>43.439523113155097</v>
      </c>
      <c r="K186" s="19">
        <f t="shared" si="60"/>
        <v>2.079627019071451</v>
      </c>
      <c r="L186" s="19">
        <f t="shared" si="70"/>
        <v>447.5927729809286</v>
      </c>
      <c r="N186" s="19">
        <f t="shared" si="61"/>
        <v>65.790832730164084</v>
      </c>
      <c r="O186" s="19">
        <f t="shared" si="62"/>
        <v>5.617401261783713</v>
      </c>
      <c r="P186" s="19">
        <f t="shared" si="71"/>
        <v>444.05499873821634</v>
      </c>
      <c r="R186" s="19">
        <f t="shared" si="63"/>
        <v>87.316356861677519</v>
      </c>
      <c r="S186" s="19">
        <f t="shared" si="64"/>
        <v>11.876407467651017</v>
      </c>
      <c r="T186" s="19">
        <f t="shared" si="72"/>
        <v>437.79599253234903</v>
      </c>
      <c r="V186" s="19">
        <f t="shared" si="65"/>
        <v>104.08109737911963</v>
      </c>
      <c r="W186" s="19">
        <f t="shared" si="66"/>
        <v>19.287536672431244</v>
      </c>
      <c r="X186" s="19">
        <f t="shared" si="73"/>
        <v>430.38486332756878</v>
      </c>
      <c r="Z186" s="19">
        <f t="shared" si="67"/>
        <v>308.08658812939223</v>
      </c>
      <c r="AA186" s="19">
        <f t="shared" si="68"/>
        <v>455.08383336553192</v>
      </c>
      <c r="AB186" s="19">
        <f t="shared" si="74"/>
        <v>-5.4114333655318774</v>
      </c>
    </row>
    <row r="187" spans="2:28" x14ac:dyDescent="0.3">
      <c r="B187" s="10">
        <v>6337.97</v>
      </c>
      <c r="C187" s="10">
        <v>498.90899999999999</v>
      </c>
      <c r="D187" s="10">
        <f t="shared" si="56"/>
        <v>449.0181</v>
      </c>
      <c r="E187" s="4"/>
      <c r="F187" s="19">
        <f t="shared" si="57"/>
        <v>66.485209680952735</v>
      </c>
      <c r="G187" s="19">
        <f t="shared" si="58"/>
        <v>5.7705071913066517</v>
      </c>
      <c r="H187" s="19">
        <f t="shared" si="69"/>
        <v>443.24759280869335</v>
      </c>
      <c r="J187" s="19">
        <f t="shared" si="59"/>
        <v>43.592489594311921</v>
      </c>
      <c r="K187" s="19">
        <f t="shared" si="60"/>
        <v>2.0958661918754382</v>
      </c>
      <c r="L187" s="19">
        <f t="shared" si="70"/>
        <v>446.92223380812459</v>
      </c>
      <c r="N187" s="19">
        <f t="shared" si="61"/>
        <v>66.022506364077941</v>
      </c>
      <c r="O187" s="19">
        <f t="shared" si="62"/>
        <v>5.6681573249383925</v>
      </c>
      <c r="P187" s="19">
        <f t="shared" si="71"/>
        <v>443.34994267506158</v>
      </c>
      <c r="R187" s="19">
        <f t="shared" si="63"/>
        <v>87.623829755009538</v>
      </c>
      <c r="S187" s="19">
        <f t="shared" si="64"/>
        <v>11.990639538919975</v>
      </c>
      <c r="T187" s="19">
        <f t="shared" si="72"/>
        <v>437.02746046108001</v>
      </c>
      <c r="V187" s="19">
        <f t="shared" si="65"/>
        <v>104.44760506797138</v>
      </c>
      <c r="W187" s="19">
        <f t="shared" si="66"/>
        <v>19.478095298295152</v>
      </c>
      <c r="X187" s="19">
        <f t="shared" si="73"/>
        <v>429.54000470170485</v>
      </c>
      <c r="Z187" s="19">
        <f t="shared" si="67"/>
        <v>309.17147391773312</v>
      </c>
      <c r="AA187" s="19">
        <f t="shared" si="68"/>
        <v>459.86714349440797</v>
      </c>
      <c r="AB187" s="19">
        <f t="shared" si="74"/>
        <v>-10.849043494407965</v>
      </c>
    </row>
    <row r="188" spans="2:28" x14ac:dyDescent="0.3">
      <c r="B188" s="10">
        <v>6354.65</v>
      </c>
      <c r="C188" s="10">
        <v>498.90899999999999</v>
      </c>
      <c r="D188" s="10">
        <f t="shared" si="56"/>
        <v>449.0181</v>
      </c>
      <c r="E188" s="4"/>
      <c r="F188" s="19">
        <f t="shared" si="57"/>
        <v>66.660182629306576</v>
      </c>
      <c r="G188" s="19">
        <f t="shared" si="58"/>
        <v>5.8095525764952276</v>
      </c>
      <c r="H188" s="19">
        <f t="shared" si="69"/>
        <v>443.2085474235048</v>
      </c>
      <c r="J188" s="19">
        <f t="shared" si="59"/>
        <v>43.707214455179532</v>
      </c>
      <c r="K188" s="19">
        <f t="shared" si="60"/>
        <v>2.1081072569657793</v>
      </c>
      <c r="L188" s="19">
        <f t="shared" si="70"/>
        <v>446.90999274303425</v>
      </c>
      <c r="N188" s="19">
        <f t="shared" si="61"/>
        <v>66.196261589513355</v>
      </c>
      <c r="O188" s="19">
        <f t="shared" si="62"/>
        <v>5.7064386732088366</v>
      </c>
      <c r="P188" s="19">
        <f t="shared" si="71"/>
        <v>443.31166132679118</v>
      </c>
      <c r="R188" s="19">
        <f t="shared" si="63"/>
        <v>87.85443442500852</v>
      </c>
      <c r="S188" s="19">
        <f t="shared" si="64"/>
        <v>12.076814565781268</v>
      </c>
      <c r="T188" s="19">
        <f t="shared" si="72"/>
        <v>436.94128543421874</v>
      </c>
      <c r="V188" s="19">
        <f t="shared" si="65"/>
        <v>104.72248583461018</v>
      </c>
      <c r="W188" s="19">
        <f t="shared" si="66"/>
        <v>19.621862751271568</v>
      </c>
      <c r="X188" s="19">
        <f t="shared" si="73"/>
        <v>429.39623724872843</v>
      </c>
      <c r="Z188" s="19">
        <f t="shared" si="67"/>
        <v>309.98513825898868</v>
      </c>
      <c r="AA188" s="19">
        <f t="shared" si="68"/>
        <v>463.47663235065909</v>
      </c>
      <c r="AB188" s="19">
        <f t="shared" si="74"/>
        <v>-14.458532350659084</v>
      </c>
    </row>
    <row r="189" spans="2:28" x14ac:dyDescent="0.3">
      <c r="B189" s="10">
        <v>6388.01</v>
      </c>
      <c r="C189" s="10">
        <v>497.45499999999998</v>
      </c>
      <c r="D189" s="10">
        <f t="shared" si="56"/>
        <v>447.70949999999999</v>
      </c>
      <c r="E189" s="4"/>
      <c r="F189" s="19">
        <f t="shared" si="57"/>
        <v>67.010128526014299</v>
      </c>
      <c r="G189" s="19">
        <f t="shared" si="58"/>
        <v>5.8882082134332796</v>
      </c>
      <c r="H189" s="19">
        <f t="shared" si="69"/>
        <v>441.82129178656669</v>
      </c>
      <c r="J189" s="19">
        <f t="shared" si="59"/>
        <v>43.936664176914768</v>
      </c>
      <c r="K189" s="19">
        <f t="shared" si="60"/>
        <v>2.1327486101292168</v>
      </c>
      <c r="L189" s="19">
        <f t="shared" si="70"/>
        <v>445.57675138987076</v>
      </c>
      <c r="N189" s="19">
        <f t="shared" si="61"/>
        <v>66.543772040384169</v>
      </c>
      <c r="O189" s="19">
        <f t="shared" si="62"/>
        <v>5.7835545246436064</v>
      </c>
      <c r="P189" s="19">
        <f t="shared" si="71"/>
        <v>441.9259454753564</v>
      </c>
      <c r="R189" s="19">
        <f t="shared" si="63"/>
        <v>88.315643765006527</v>
      </c>
      <c r="S189" s="19">
        <f t="shared" si="64"/>
        <v>12.250457735339966</v>
      </c>
      <c r="T189" s="19">
        <f t="shared" si="72"/>
        <v>435.45904226466001</v>
      </c>
      <c r="V189" s="19">
        <f t="shared" si="65"/>
        <v>105.27224736788781</v>
      </c>
      <c r="W189" s="19">
        <f t="shared" si="66"/>
        <v>19.911587768577718</v>
      </c>
      <c r="X189" s="19">
        <f t="shared" si="73"/>
        <v>427.79791223142229</v>
      </c>
      <c r="Z189" s="19">
        <f t="shared" si="67"/>
        <v>311.61246694149992</v>
      </c>
      <c r="AA189" s="19">
        <f t="shared" si="68"/>
        <v>470.75241276412555</v>
      </c>
      <c r="AB189" s="19">
        <f t="shared" si="74"/>
        <v>-23.04291276412556</v>
      </c>
    </row>
    <row r="190" spans="2:28" x14ac:dyDescent="0.3">
      <c r="B190" s="10">
        <v>6421.37</v>
      </c>
      <c r="C190" s="10">
        <v>496.72699999999998</v>
      </c>
      <c r="D190" s="10">
        <f t="shared" si="56"/>
        <v>447.05430000000001</v>
      </c>
      <c r="E190" s="4"/>
      <c r="F190" s="19">
        <f t="shared" si="57"/>
        <v>67.360074422722008</v>
      </c>
      <c r="G190" s="19">
        <f t="shared" si="58"/>
        <v>5.967620297771572</v>
      </c>
      <c r="H190" s="19">
        <f t="shared" si="69"/>
        <v>441.08667970222842</v>
      </c>
      <c r="J190" s="19">
        <f t="shared" si="59"/>
        <v>44.166113898649996</v>
      </c>
      <c r="K190" s="19">
        <f t="shared" si="60"/>
        <v>2.1576031885385825</v>
      </c>
      <c r="L190" s="19">
        <f t="shared" si="70"/>
        <v>444.89669681146142</v>
      </c>
      <c r="N190" s="19">
        <f t="shared" si="61"/>
        <v>66.891282491254955</v>
      </c>
      <c r="O190" s="19">
        <f t="shared" si="62"/>
        <v>5.8614111396681841</v>
      </c>
      <c r="P190" s="19">
        <f t="shared" si="71"/>
        <v>441.19288886033183</v>
      </c>
      <c r="R190" s="19">
        <f t="shared" si="63"/>
        <v>88.77685310500452</v>
      </c>
      <c r="S190" s="19">
        <f t="shared" si="64"/>
        <v>12.425832595496336</v>
      </c>
      <c r="T190" s="19">
        <f t="shared" si="72"/>
        <v>434.62846740450368</v>
      </c>
      <c r="V190" s="19">
        <f t="shared" si="65"/>
        <v>105.82200890116542</v>
      </c>
      <c r="W190" s="19">
        <f t="shared" si="66"/>
        <v>20.204245698104483</v>
      </c>
      <c r="X190" s="19">
        <f t="shared" si="73"/>
        <v>426.85005430189551</v>
      </c>
      <c r="Z190" s="19">
        <f t="shared" si="67"/>
        <v>313.23979562401109</v>
      </c>
      <c r="AA190" s="19">
        <f t="shared" si="68"/>
        <v>478.10426115266046</v>
      </c>
      <c r="AB190" s="19">
        <f t="shared" si="74"/>
        <v>-31.049961152660444</v>
      </c>
    </row>
    <row r="191" spans="2:28" x14ac:dyDescent="0.3">
      <c r="B191" s="10">
        <v>6449.17</v>
      </c>
      <c r="C191" s="10">
        <v>496.72699999999998</v>
      </c>
      <c r="D191" s="10">
        <f t="shared" si="56"/>
        <v>447.05430000000001</v>
      </c>
      <c r="E191" s="4"/>
      <c r="F191" s="19">
        <f t="shared" si="57"/>
        <v>67.65169600331177</v>
      </c>
      <c r="G191" s="19">
        <f t="shared" si="58"/>
        <v>6.0343777264903897</v>
      </c>
      <c r="H191" s="19">
        <f t="shared" si="69"/>
        <v>441.01992227350962</v>
      </c>
      <c r="J191" s="19">
        <f t="shared" si="59"/>
        <v>44.357322000096026</v>
      </c>
      <c r="K191" s="19">
        <f t="shared" si="60"/>
        <v>2.1784790209608964</v>
      </c>
      <c r="L191" s="19">
        <f t="shared" si="70"/>
        <v>444.87582097903913</v>
      </c>
      <c r="N191" s="19">
        <f t="shared" si="61"/>
        <v>67.180874533647298</v>
      </c>
      <c r="O191" s="19">
        <f t="shared" si="62"/>
        <v>5.9268603041797467</v>
      </c>
      <c r="P191" s="19">
        <f t="shared" si="71"/>
        <v>441.12743969582027</v>
      </c>
      <c r="R191" s="19">
        <f t="shared" si="63"/>
        <v>89.161194221669533</v>
      </c>
      <c r="S191" s="19">
        <f t="shared" si="64"/>
        <v>12.57330765585157</v>
      </c>
      <c r="T191" s="19">
        <f t="shared" si="72"/>
        <v>434.48099234414843</v>
      </c>
      <c r="V191" s="19">
        <f t="shared" si="65"/>
        <v>106.28014351223008</v>
      </c>
      <c r="W191" s="19">
        <f t="shared" si="66"/>
        <v>20.450378775198864</v>
      </c>
      <c r="X191" s="19">
        <f t="shared" si="73"/>
        <v>426.60392122480113</v>
      </c>
      <c r="Z191" s="19">
        <f t="shared" si="67"/>
        <v>314.59590285943716</v>
      </c>
      <c r="AA191" s="19">
        <f t="shared" si="68"/>
        <v>484.28919555259967</v>
      </c>
      <c r="AB191" s="19">
        <f t="shared" si="74"/>
        <v>-37.234895552599653</v>
      </c>
    </row>
    <row r="192" spans="2:28" x14ac:dyDescent="0.3">
      <c r="B192" s="10">
        <v>6476.97</v>
      </c>
      <c r="C192" s="10">
        <v>495.27300000000002</v>
      </c>
      <c r="D192" s="10">
        <f t="shared" si="56"/>
        <v>445.74570000000006</v>
      </c>
      <c r="E192" s="4"/>
      <c r="F192" s="19">
        <f t="shared" si="57"/>
        <v>67.943317583901532</v>
      </c>
      <c r="G192" s="19">
        <f t="shared" si="58"/>
        <v>6.1016654953264515</v>
      </c>
      <c r="H192" s="19">
        <f t="shared" si="69"/>
        <v>439.64403450467358</v>
      </c>
      <c r="J192" s="19">
        <f t="shared" si="59"/>
        <v>44.548530101542056</v>
      </c>
      <c r="K192" s="19">
        <f t="shared" si="60"/>
        <v>2.1995043441500362</v>
      </c>
      <c r="L192" s="19">
        <f t="shared" si="70"/>
        <v>443.54619565585</v>
      </c>
      <c r="N192" s="19">
        <f t="shared" si="61"/>
        <v>67.470466576039641</v>
      </c>
      <c r="O192" s="19">
        <f t="shared" si="62"/>
        <v>5.9928288129959526</v>
      </c>
      <c r="P192" s="19">
        <f t="shared" si="71"/>
        <v>439.75287118700408</v>
      </c>
      <c r="R192" s="19">
        <f t="shared" si="63"/>
        <v>89.545535338334531</v>
      </c>
      <c r="S192" s="19">
        <f t="shared" si="64"/>
        <v>12.721996792683642</v>
      </c>
      <c r="T192" s="19">
        <f t="shared" si="72"/>
        <v>433.02370320731643</v>
      </c>
      <c r="V192" s="19">
        <f t="shared" si="65"/>
        <v>106.73827812329478</v>
      </c>
      <c r="W192" s="19">
        <f t="shared" si="66"/>
        <v>20.698568097063827</v>
      </c>
      <c r="X192" s="19">
        <f t="shared" si="73"/>
        <v>425.04713190293626</v>
      </c>
      <c r="Z192" s="19">
        <f t="shared" si="67"/>
        <v>315.95201009486311</v>
      </c>
      <c r="AA192" s="19">
        <f t="shared" si="68"/>
        <v>490.52746069146895</v>
      </c>
      <c r="AB192" s="19">
        <f t="shared" si="74"/>
        <v>-44.781760691468889</v>
      </c>
    </row>
    <row r="193" spans="2:28" x14ac:dyDescent="0.3">
      <c r="B193" s="10">
        <v>6515.89</v>
      </c>
      <c r="C193" s="10">
        <v>494.54500000000002</v>
      </c>
      <c r="D193" s="10">
        <f t="shared" si="56"/>
        <v>445.09050000000002</v>
      </c>
      <c r="F193" s="19">
        <f t="shared" si="57"/>
        <v>68.351587796727202</v>
      </c>
      <c r="G193" s="19">
        <f t="shared" si="58"/>
        <v>6.1967636958306</v>
      </c>
      <c r="H193" s="19">
        <f t="shared" si="69"/>
        <v>438.89373630416941</v>
      </c>
      <c r="J193" s="19">
        <f t="shared" si="59"/>
        <v>44.816221443566491</v>
      </c>
      <c r="K193" s="19">
        <f t="shared" si="60"/>
        <v>2.2291921680401598</v>
      </c>
      <c r="L193" s="19">
        <f t="shared" si="70"/>
        <v>442.86130783195983</v>
      </c>
      <c r="N193" s="19">
        <f t="shared" si="61"/>
        <v>67.875895435388927</v>
      </c>
      <c r="O193" s="19">
        <f t="shared" si="62"/>
        <v>6.0860614862595961</v>
      </c>
      <c r="P193" s="19">
        <f t="shared" si="71"/>
        <v>439.00443851374041</v>
      </c>
      <c r="R193" s="19">
        <f t="shared" si="63"/>
        <v>90.083612901665532</v>
      </c>
      <c r="S193" s="19">
        <f t="shared" si="64"/>
        <v>12.932211197194057</v>
      </c>
      <c r="T193" s="19">
        <f t="shared" si="72"/>
        <v>432.15828880280594</v>
      </c>
      <c r="V193" s="19">
        <f t="shared" si="65"/>
        <v>107.37966657878532</v>
      </c>
      <c r="W193" s="19">
        <f t="shared" si="66"/>
        <v>21.04950451540261</v>
      </c>
      <c r="X193" s="19">
        <f t="shared" si="73"/>
        <v>424.04099548459743</v>
      </c>
      <c r="Z193" s="19">
        <f t="shared" si="67"/>
        <v>317.85056022445951</v>
      </c>
      <c r="AA193" s="19">
        <f t="shared" si="68"/>
        <v>499.35106523632834</v>
      </c>
      <c r="AB193" s="19">
        <f t="shared" si="74"/>
        <v>-54.260565236328318</v>
      </c>
    </row>
    <row r="194" spans="2:28" x14ac:dyDescent="0.3">
      <c r="B194" s="10">
        <v>6543.69</v>
      </c>
      <c r="C194" s="10">
        <v>494.54500000000002</v>
      </c>
      <c r="D194" s="10">
        <f t="shared" si="56"/>
        <v>445.09050000000002</v>
      </c>
      <c r="F194" s="19">
        <f t="shared" si="57"/>
        <v>68.64320937731695</v>
      </c>
      <c r="G194" s="19">
        <f t="shared" si="58"/>
        <v>6.2653336082409448</v>
      </c>
      <c r="H194" s="19">
        <f t="shared" si="69"/>
        <v>438.82516639175907</v>
      </c>
      <c r="J194" s="19">
        <f t="shared" si="59"/>
        <v>45.007429545012513</v>
      </c>
      <c r="K194" s="19">
        <f t="shared" si="60"/>
        <v>2.2505788982205246</v>
      </c>
      <c r="L194" s="19">
        <f t="shared" si="70"/>
        <v>442.83992110177951</v>
      </c>
      <c r="N194" s="19">
        <f t="shared" si="61"/>
        <v>68.165487477781241</v>
      </c>
      <c r="O194" s="19">
        <f t="shared" si="62"/>
        <v>6.1532855553122845</v>
      </c>
      <c r="P194" s="19">
        <f t="shared" si="71"/>
        <v>438.93721444468775</v>
      </c>
      <c r="R194" s="19">
        <f t="shared" si="63"/>
        <v>90.467954018330516</v>
      </c>
      <c r="S194" s="19">
        <f t="shared" si="64"/>
        <v>13.08383546999427</v>
      </c>
      <c r="T194" s="19">
        <f t="shared" si="72"/>
        <v>432.00666453000576</v>
      </c>
      <c r="V194" s="19">
        <f t="shared" si="65"/>
        <v>107.83780118985</v>
      </c>
      <c r="W194" s="19">
        <f t="shared" si="66"/>
        <v>21.302664988673992</v>
      </c>
      <c r="X194" s="19">
        <f t="shared" si="73"/>
        <v>423.78783501132602</v>
      </c>
      <c r="Z194" s="19">
        <f t="shared" si="67"/>
        <v>319.20666745988552</v>
      </c>
      <c r="AA194" s="19">
        <f t="shared" si="68"/>
        <v>505.71826209657246</v>
      </c>
      <c r="AB194" s="19">
        <f t="shared" si="74"/>
        <v>-60.62776209657244</v>
      </c>
    </row>
    <row r="195" spans="2:28" x14ac:dyDescent="0.3">
      <c r="B195" s="10">
        <v>6577.05</v>
      </c>
      <c r="C195" s="10">
        <v>493.09100000000001</v>
      </c>
      <c r="D195" s="10">
        <f t="shared" si="56"/>
        <v>443.78190000000001</v>
      </c>
      <c r="F195" s="19">
        <f t="shared" si="57"/>
        <v>68.993155274024673</v>
      </c>
      <c r="G195" s="19">
        <f t="shared" si="58"/>
        <v>6.34832801328721</v>
      </c>
      <c r="H195" s="19">
        <f t="shared" si="69"/>
        <v>437.43357198671282</v>
      </c>
      <c r="J195" s="19">
        <f t="shared" si="59"/>
        <v>45.236879266747749</v>
      </c>
      <c r="K195" s="19">
        <f t="shared" si="60"/>
        <v>2.2764432510222754</v>
      </c>
      <c r="L195" s="19">
        <f t="shared" si="70"/>
        <v>441.50545674897774</v>
      </c>
      <c r="N195" s="19">
        <f t="shared" si="61"/>
        <v>68.512997928652069</v>
      </c>
      <c r="O195" s="19">
        <f t="shared" si="62"/>
        <v>6.2346502169593343</v>
      </c>
      <c r="P195" s="19">
        <f t="shared" si="71"/>
        <v>437.54724978304068</v>
      </c>
      <c r="R195" s="19">
        <f t="shared" si="63"/>
        <v>90.929163358328523</v>
      </c>
      <c r="S195" s="19">
        <f t="shared" si="64"/>
        <v>13.267411126512508</v>
      </c>
      <c r="T195" s="19">
        <f t="shared" si="72"/>
        <v>430.51448887348749</v>
      </c>
      <c r="V195" s="19">
        <f t="shared" si="65"/>
        <v>108.38756272312762</v>
      </c>
      <c r="W195" s="19">
        <f t="shared" si="66"/>
        <v>21.609212360056471</v>
      </c>
      <c r="X195" s="19">
        <f t="shared" si="73"/>
        <v>422.17268763994355</v>
      </c>
      <c r="Z195" s="19">
        <f t="shared" si="67"/>
        <v>320.83399614239676</v>
      </c>
      <c r="AA195" s="19">
        <f t="shared" si="68"/>
        <v>513.43034687724003</v>
      </c>
      <c r="AB195" s="19">
        <f t="shared" si="74"/>
        <v>-69.648446877240019</v>
      </c>
    </row>
    <row r="196" spans="2:28" x14ac:dyDescent="0.3">
      <c r="B196" s="10">
        <v>6610.41</v>
      </c>
      <c r="C196" s="10">
        <v>492.36399999999998</v>
      </c>
      <c r="D196" s="10">
        <f t="shared" si="56"/>
        <v>443.12759999999997</v>
      </c>
      <c r="F196" s="19">
        <f t="shared" si="57"/>
        <v>69.343101170732382</v>
      </c>
      <c r="G196" s="19">
        <f t="shared" si="58"/>
        <v>6.4321012512366433</v>
      </c>
      <c r="H196" s="19">
        <f t="shared" si="69"/>
        <v>436.69549874876333</v>
      </c>
      <c r="J196" s="19">
        <f t="shared" si="59"/>
        <v>45.466328988482978</v>
      </c>
      <c r="K196" s="19">
        <f t="shared" si="60"/>
        <v>2.3025271390319753</v>
      </c>
      <c r="L196" s="19">
        <f t="shared" si="70"/>
        <v>440.82507286096802</v>
      </c>
      <c r="N196" s="19">
        <f t="shared" si="61"/>
        <v>68.860508379522869</v>
      </c>
      <c r="O196" s="19">
        <f t="shared" si="62"/>
        <v>6.3167775635690546</v>
      </c>
      <c r="P196" s="19">
        <f t="shared" si="71"/>
        <v>436.8108224364309</v>
      </c>
      <c r="R196" s="19">
        <f t="shared" si="63"/>
        <v>91.390372698326516</v>
      </c>
      <c r="S196" s="19">
        <f t="shared" si="64"/>
        <v>13.452769719445294</v>
      </c>
      <c r="T196" s="19">
        <f t="shared" si="72"/>
        <v>429.67483028055466</v>
      </c>
      <c r="V196" s="19">
        <f t="shared" si="65"/>
        <v>108.93732425640522</v>
      </c>
      <c r="W196" s="19">
        <f t="shared" si="66"/>
        <v>21.918779437156473</v>
      </c>
      <c r="X196" s="19">
        <f t="shared" si="73"/>
        <v>421.20882056284347</v>
      </c>
      <c r="Z196" s="19">
        <f t="shared" si="67"/>
        <v>322.46132482490799</v>
      </c>
      <c r="AA196" s="19">
        <f t="shared" si="68"/>
        <v>521.22075070803839</v>
      </c>
      <c r="AB196" s="19">
        <f t="shared" si="74"/>
        <v>-78.093150708038422</v>
      </c>
    </row>
    <row r="197" spans="2:28" x14ac:dyDescent="0.3">
      <c r="B197" s="10">
        <v>6643.76</v>
      </c>
      <c r="C197" s="10">
        <v>491.63600000000002</v>
      </c>
      <c r="D197" s="10">
        <f t="shared" si="56"/>
        <v>442.47240000000005</v>
      </c>
      <c r="F197" s="19">
        <f t="shared" si="57"/>
        <v>69.692942167590971</v>
      </c>
      <c r="G197" s="19">
        <f t="shared" si="58"/>
        <v>6.5166318082599641</v>
      </c>
      <c r="H197" s="19">
        <f t="shared" si="69"/>
        <v>435.95576819174011</v>
      </c>
      <c r="J197" s="19">
        <f t="shared" si="59"/>
        <v>45.695709930325606</v>
      </c>
      <c r="K197" s="19">
        <f t="shared" si="60"/>
        <v>2.3288237575472031</v>
      </c>
      <c r="L197" s="19">
        <f t="shared" si="70"/>
        <v>440.14357624245287</v>
      </c>
      <c r="N197" s="19">
        <f t="shared" si="61"/>
        <v>69.207914660594255</v>
      </c>
      <c r="O197" s="19">
        <f t="shared" si="62"/>
        <v>6.3996465000845939</v>
      </c>
      <c r="P197" s="19">
        <f t="shared" si="71"/>
        <v>436.07275349991545</v>
      </c>
      <c r="R197" s="19">
        <f t="shared" si="63"/>
        <v>91.851443786124278</v>
      </c>
      <c r="S197" s="19">
        <f t="shared" si="64"/>
        <v>13.639863922475676</v>
      </c>
      <c r="T197" s="19">
        <f t="shared" si="72"/>
        <v>428.83253607752437</v>
      </c>
      <c r="V197" s="19">
        <f t="shared" si="65"/>
        <v>109.48692099306017</v>
      </c>
      <c r="W197" s="19">
        <f t="shared" si="66"/>
        <v>22.231287374525429</v>
      </c>
      <c r="X197" s="19">
        <f t="shared" si="73"/>
        <v>420.24111262547461</v>
      </c>
      <c r="Z197" s="19">
        <f t="shared" si="67"/>
        <v>324.08816569906111</v>
      </c>
      <c r="AA197" s="19">
        <f t="shared" si="68"/>
        <v>529.08750015440262</v>
      </c>
      <c r="AB197" s="19">
        <f t="shared" si="74"/>
        <v>-86.615100154402569</v>
      </c>
    </row>
    <row r="198" spans="2:28" x14ac:dyDescent="0.3">
      <c r="B198" s="10">
        <v>6682.68</v>
      </c>
      <c r="C198" s="10">
        <v>490.18200000000002</v>
      </c>
      <c r="D198" s="10">
        <f t="shared" si="56"/>
        <v>441.16380000000004</v>
      </c>
      <c r="F198" s="19">
        <f t="shared" si="57"/>
        <v>70.101212380416627</v>
      </c>
      <c r="G198" s="19">
        <f t="shared" si="58"/>
        <v>6.6162748450819153</v>
      </c>
      <c r="H198" s="19">
        <f t="shared" si="69"/>
        <v>434.54752515491811</v>
      </c>
      <c r="J198" s="19">
        <f t="shared" si="59"/>
        <v>45.96340127235004</v>
      </c>
      <c r="K198" s="19">
        <f t="shared" si="60"/>
        <v>2.359792666997615</v>
      </c>
      <c r="L198" s="19">
        <f t="shared" si="70"/>
        <v>438.8040073330024</v>
      </c>
      <c r="N198" s="19">
        <f t="shared" si="61"/>
        <v>69.613343519943527</v>
      </c>
      <c r="O198" s="19">
        <f t="shared" si="62"/>
        <v>6.4973297792526381</v>
      </c>
      <c r="P198" s="19">
        <f t="shared" si="71"/>
        <v>434.66647022074739</v>
      </c>
      <c r="R198" s="19">
        <f t="shared" si="63"/>
        <v>92.389521349455293</v>
      </c>
      <c r="S198" s="19">
        <f t="shared" si="64"/>
        <v>13.860482553792876</v>
      </c>
      <c r="T198" s="19">
        <f t="shared" si="72"/>
        <v>427.30331744620719</v>
      </c>
      <c r="V198" s="19">
        <f t="shared" si="65"/>
        <v>110.12830944855071</v>
      </c>
      <c r="W198" s="19">
        <f t="shared" si="66"/>
        <v>22.599845118514775</v>
      </c>
      <c r="X198" s="19">
        <f t="shared" si="73"/>
        <v>418.56395488148524</v>
      </c>
      <c r="Z198" s="19">
        <f t="shared" si="67"/>
        <v>325.98671582865757</v>
      </c>
      <c r="AA198" s="19">
        <f t="shared" si="68"/>
        <v>538.36813118332793</v>
      </c>
      <c r="AB198" s="19">
        <f t="shared" si="74"/>
        <v>-97.204331183327895</v>
      </c>
    </row>
    <row r="199" spans="2:28" x14ac:dyDescent="0.3">
      <c r="B199" s="10">
        <v>6710.48</v>
      </c>
      <c r="C199" s="10">
        <v>489.45499999999998</v>
      </c>
      <c r="D199" s="10">
        <f t="shared" si="56"/>
        <v>440.5095</v>
      </c>
      <c r="F199" s="19">
        <f t="shared" si="57"/>
        <v>70.392833961006389</v>
      </c>
      <c r="G199" s="19">
        <f t="shared" si="58"/>
        <v>6.6881075280896525</v>
      </c>
      <c r="H199" s="19">
        <f t="shared" si="69"/>
        <v>433.82139247191037</v>
      </c>
      <c r="J199" s="19">
        <f t="shared" si="59"/>
        <v>46.154609373796056</v>
      </c>
      <c r="K199" s="19">
        <f t="shared" si="60"/>
        <v>2.3820990976922691</v>
      </c>
      <c r="L199" s="19">
        <f t="shared" si="70"/>
        <v>438.12740090230773</v>
      </c>
      <c r="N199" s="19">
        <f t="shared" si="61"/>
        <v>69.902935562335855</v>
      </c>
      <c r="O199" s="19">
        <f t="shared" si="62"/>
        <v>6.5677489702129197</v>
      </c>
      <c r="P199" s="19">
        <f t="shared" si="71"/>
        <v>433.9417510297871</v>
      </c>
      <c r="R199" s="19">
        <f t="shared" si="63"/>
        <v>92.773862466120278</v>
      </c>
      <c r="S199" s="19">
        <f t="shared" si="64"/>
        <v>14.019576095658014</v>
      </c>
      <c r="T199" s="19">
        <f t="shared" si="72"/>
        <v>426.48992390434199</v>
      </c>
      <c r="V199" s="19">
        <f t="shared" si="65"/>
        <v>110.58644405961539</v>
      </c>
      <c r="W199" s="19">
        <f t="shared" si="66"/>
        <v>22.865656067886796</v>
      </c>
      <c r="X199" s="19">
        <f t="shared" si="73"/>
        <v>417.64384393211321</v>
      </c>
      <c r="Z199" s="19">
        <f t="shared" si="67"/>
        <v>327.34282306408346</v>
      </c>
      <c r="AA199" s="19">
        <f t="shared" si="68"/>
        <v>545.06343063520887</v>
      </c>
      <c r="AB199" s="19">
        <f t="shared" si="74"/>
        <v>-104.55393063520887</v>
      </c>
    </row>
    <row r="200" spans="2:28" x14ac:dyDescent="0.3">
      <c r="B200" s="10">
        <v>6754.96</v>
      </c>
      <c r="C200" s="10">
        <v>488</v>
      </c>
      <c r="D200" s="10">
        <f t="shared" si="56"/>
        <v>439.2</v>
      </c>
      <c r="F200" s="19">
        <f t="shared" si="57"/>
        <v>70.859428489950005</v>
      </c>
      <c r="G200" s="19">
        <f t="shared" si="58"/>
        <v>6.8041885755041589</v>
      </c>
      <c r="H200" s="19">
        <f t="shared" si="69"/>
        <v>432.39581142449583</v>
      </c>
      <c r="J200" s="19">
        <f t="shared" si="59"/>
        <v>46.460542336109704</v>
      </c>
      <c r="K200" s="19">
        <f t="shared" si="60"/>
        <v>2.4181131944901102</v>
      </c>
      <c r="L200" s="19">
        <f t="shared" si="70"/>
        <v>436.78188680550988</v>
      </c>
      <c r="N200" s="19">
        <f t="shared" si="61"/>
        <v>70.366282830163613</v>
      </c>
      <c r="O200" s="19">
        <f t="shared" si="62"/>
        <v>6.6815446126354239</v>
      </c>
      <c r="P200" s="19">
        <f t="shared" si="71"/>
        <v>432.51845538736455</v>
      </c>
      <c r="R200" s="19">
        <f t="shared" si="63"/>
        <v>93.388808252784287</v>
      </c>
      <c r="S200" s="19">
        <f t="shared" si="64"/>
        <v>14.276755539072044</v>
      </c>
      <c r="T200" s="19">
        <f t="shared" si="72"/>
        <v>424.92324446092795</v>
      </c>
      <c r="V200" s="19">
        <f t="shared" si="65"/>
        <v>111.31945943731888</v>
      </c>
      <c r="W200" s="19">
        <f t="shared" si="66"/>
        <v>23.295407560033336</v>
      </c>
      <c r="X200" s="19">
        <f t="shared" si="73"/>
        <v>415.90459243996668</v>
      </c>
      <c r="Z200" s="19">
        <f t="shared" si="67"/>
        <v>329.51259464076514</v>
      </c>
      <c r="AA200" s="19">
        <f t="shared" si="68"/>
        <v>555.89142795076782</v>
      </c>
      <c r="AB200" s="19">
        <f t="shared" si="74"/>
        <v>-116.69142795076783</v>
      </c>
    </row>
    <row r="201" spans="2:28" x14ac:dyDescent="0.3">
      <c r="B201" s="10">
        <v>6782.76</v>
      </c>
      <c r="C201" s="10">
        <v>487.27300000000002</v>
      </c>
      <c r="D201" s="10">
        <f t="shared" si="56"/>
        <v>438.54570000000001</v>
      </c>
      <c r="F201" s="19">
        <f t="shared" si="57"/>
        <v>71.151050070539753</v>
      </c>
      <c r="G201" s="19">
        <f t="shared" si="58"/>
        <v>6.8774607680824191</v>
      </c>
      <c r="H201" s="19">
        <f t="shared" si="69"/>
        <v>431.6682392319176</v>
      </c>
      <c r="J201" s="19">
        <f t="shared" si="59"/>
        <v>46.651750437555741</v>
      </c>
      <c r="K201" s="19">
        <f t="shared" si="60"/>
        <v>2.4408253900563128</v>
      </c>
      <c r="L201" s="19">
        <f t="shared" si="70"/>
        <v>436.10487460994369</v>
      </c>
      <c r="N201" s="19">
        <f t="shared" si="61"/>
        <v>70.655874872555955</v>
      </c>
      <c r="O201" s="19">
        <f t="shared" si="62"/>
        <v>6.7533734670788412</v>
      </c>
      <c r="P201" s="19">
        <f t="shared" si="71"/>
        <v>431.79232653292115</v>
      </c>
      <c r="R201" s="19">
        <f t="shared" si="63"/>
        <v>93.773149369449285</v>
      </c>
      <c r="S201" s="19">
        <f t="shared" si="64"/>
        <v>14.439144465636423</v>
      </c>
      <c r="T201" s="19">
        <f t="shared" si="72"/>
        <v>424.10655553436357</v>
      </c>
      <c r="V201" s="19">
        <f t="shared" si="65"/>
        <v>111.77759404838356</v>
      </c>
      <c r="W201" s="19">
        <f t="shared" si="66"/>
        <v>23.566799803239832</v>
      </c>
      <c r="X201" s="19">
        <f t="shared" si="73"/>
        <v>414.97890019676015</v>
      </c>
      <c r="Z201" s="19">
        <f t="shared" si="67"/>
        <v>330.86870187619115</v>
      </c>
      <c r="AA201" s="19">
        <f t="shared" si="68"/>
        <v>562.73148377048949</v>
      </c>
      <c r="AB201" s="19">
        <f t="shared" si="74"/>
        <v>-124.18578377048948</v>
      </c>
    </row>
  </sheetData>
  <mergeCells count="9">
    <mergeCell ref="R10:S10"/>
    <mergeCell ref="V10:W10"/>
    <mergeCell ref="Z10:AA10"/>
    <mergeCell ref="B2:C2"/>
    <mergeCell ref="B10:D10"/>
    <mergeCell ref="F10:G10"/>
    <mergeCell ref="J10:K10"/>
    <mergeCell ref="N10:O10"/>
    <mergeCell ref="E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Factory_Values">
          <controlPr defaultSize="0" autoLine="0" autoPict="0" r:id="rId4">
            <anchor moveWithCells="1">
              <from>
                <xdr:col>6</xdr:col>
                <xdr:colOff>853440</xdr:colOff>
                <xdr:row>3</xdr:row>
                <xdr:rowOff>434340</xdr:rowOff>
              </from>
              <to>
                <xdr:col>7</xdr:col>
                <xdr:colOff>1165860</xdr:colOff>
                <xdr:row>7</xdr:row>
                <xdr:rowOff>45720</xdr:rowOff>
              </to>
            </anchor>
          </controlPr>
        </control>
      </mc:Choice>
      <mc:Fallback>
        <control shapeId="9217" r:id="rId3" name="Factory_Values"/>
      </mc:Fallback>
    </mc:AlternateContent>
    <mc:AlternateContent xmlns:mc="http://schemas.openxmlformats.org/markup-compatibility/2006">
      <mc:Choice Requires="x14">
        <control shapeId="9218" r:id="rId5" name="Random_Values">
          <controlPr defaultSize="0" autoLine="0" r:id="rId6">
            <anchor moveWithCells="1">
              <from>
                <xdr:col>8</xdr:col>
                <xdr:colOff>594360</xdr:colOff>
                <xdr:row>3</xdr:row>
                <xdr:rowOff>388620</xdr:rowOff>
              </from>
              <to>
                <xdr:col>10</xdr:col>
                <xdr:colOff>175260</xdr:colOff>
                <xdr:row>7</xdr:row>
                <xdr:rowOff>38100</xdr:rowOff>
              </to>
            </anchor>
          </controlPr>
        </control>
      </mc:Choice>
      <mc:Fallback>
        <control shapeId="9218" r:id="rId5" name="Random_Valu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78922-2581-45E7-9A87-1B13D88D6B28}">
  <sheetPr codeName="Sheet7"/>
  <dimension ref="B7:T182"/>
  <sheetViews>
    <sheetView zoomScale="55" zoomScaleNormal="55" workbookViewId="0">
      <selection activeCell="AA52" sqref="AA52"/>
    </sheetView>
  </sheetViews>
  <sheetFormatPr defaultRowHeight="14.4" x14ac:dyDescent="0.3"/>
  <cols>
    <col min="1" max="1" width="9.44140625" customWidth="1"/>
    <col min="2" max="2" width="20.21875" bestFit="1" customWidth="1"/>
    <col min="3" max="3" width="12.44140625" bestFit="1" customWidth="1"/>
    <col min="4" max="4" width="12" customWidth="1"/>
    <col min="5" max="5" width="20.21875" bestFit="1" customWidth="1"/>
    <col min="6" max="6" width="12.44140625" bestFit="1" customWidth="1"/>
    <col min="7" max="7" width="11" bestFit="1" customWidth="1"/>
    <col min="8" max="8" width="20.21875" bestFit="1" customWidth="1"/>
    <col min="9" max="9" width="12.44140625" bestFit="1" customWidth="1"/>
    <col min="11" max="11" width="20.21875" bestFit="1" customWidth="1"/>
    <col min="12" max="12" width="12.44140625" bestFit="1" customWidth="1"/>
    <col min="14" max="14" width="20.21875" bestFit="1" customWidth="1"/>
    <col min="15" max="15" width="12.44140625" bestFit="1" customWidth="1"/>
    <col min="16" max="16" width="12" bestFit="1" customWidth="1"/>
    <col min="17" max="17" width="20.21875" bestFit="1" customWidth="1"/>
    <col min="18" max="18" width="13" bestFit="1" customWidth="1"/>
  </cols>
  <sheetData>
    <row r="7" spans="2:20" x14ac:dyDescent="0.3">
      <c r="B7" s="39" t="s">
        <v>29</v>
      </c>
      <c r="C7" s="39"/>
      <c r="E7" s="39" t="s">
        <v>30</v>
      </c>
      <c r="F7" s="39"/>
      <c r="H7" s="39" t="s">
        <v>31</v>
      </c>
      <c r="I7" s="39"/>
      <c r="K7" s="39" t="s">
        <v>32</v>
      </c>
      <c r="L7" s="39"/>
      <c r="N7" s="39" t="s">
        <v>33</v>
      </c>
      <c r="O7" s="39"/>
      <c r="Q7" s="39" t="s">
        <v>34</v>
      </c>
      <c r="R7" s="39"/>
    </row>
    <row r="8" spans="2:20" s="36" customFormat="1" x14ac:dyDescent="0.3">
      <c r="B8" s="35" t="s">
        <v>6</v>
      </c>
      <c r="C8" s="35" t="s">
        <v>27</v>
      </c>
      <c r="E8" s="35" t="s">
        <v>6</v>
      </c>
      <c r="F8" s="35" t="s">
        <v>27</v>
      </c>
      <c r="H8" s="35" t="s">
        <v>6</v>
      </c>
      <c r="I8" s="35" t="s">
        <v>27</v>
      </c>
      <c r="K8" s="35" t="s">
        <v>6</v>
      </c>
      <c r="L8" s="35" t="s">
        <v>27</v>
      </c>
      <c r="N8" s="35" t="s">
        <v>6</v>
      </c>
      <c r="O8" s="35" t="s">
        <v>27</v>
      </c>
      <c r="Q8" s="35" t="s">
        <v>6</v>
      </c>
      <c r="R8" s="35" t="s">
        <v>27</v>
      </c>
    </row>
    <row r="9" spans="2:20" x14ac:dyDescent="0.3">
      <c r="B9">
        <v>10.494180907266067</v>
      </c>
      <c r="C9">
        <v>0</v>
      </c>
      <c r="E9">
        <v>66.018615152009104</v>
      </c>
      <c r="F9">
        <v>2.7903591058682684</v>
      </c>
      <c r="H9">
        <v>100.55715191872169</v>
      </c>
      <c r="I9">
        <v>5.2286370009950023</v>
      </c>
      <c r="K9">
        <v>152.29768394264048</v>
      </c>
      <c r="L9">
        <v>10.105381769773942</v>
      </c>
      <c r="N9">
        <v>202.12662415877281</v>
      </c>
      <c r="O9">
        <v>16.748746223560541</v>
      </c>
      <c r="Q9">
        <v>240.93493599725721</v>
      </c>
      <c r="R9">
        <v>24.280730249420927</v>
      </c>
      <c r="T9">
        <v>119.76940440674053</v>
      </c>
    </row>
    <row r="10" spans="2:20" x14ac:dyDescent="0.3">
      <c r="B10">
        <v>10.610829539501971</v>
      </c>
      <c r="C10">
        <v>9.2440317938386595E-3</v>
      </c>
      <c r="E10">
        <v>66.266046095026965</v>
      </c>
      <c r="F10">
        <v>2.8037903518844844</v>
      </c>
      <c r="H10">
        <v>101.57341199035197</v>
      </c>
      <c r="I10">
        <v>5.3095267319875381</v>
      </c>
      <c r="K10">
        <v>152.66325246307338</v>
      </c>
      <c r="L10">
        <v>10.145430734553386</v>
      </c>
      <c r="N10">
        <v>202.62110949621325</v>
      </c>
      <c r="O10">
        <v>16.825382032456844</v>
      </c>
      <c r="Q10">
        <v>242.72221938185871</v>
      </c>
      <c r="R10">
        <v>24.790914725912799</v>
      </c>
    </row>
    <row r="11" spans="2:20" x14ac:dyDescent="0.3">
      <c r="B11">
        <v>10.844126803973779</v>
      </c>
      <c r="C11">
        <v>2.6820342598311384E-2</v>
      </c>
      <c r="E11">
        <v>67.065583375933556</v>
      </c>
      <c r="F11">
        <v>2.8471133373182411</v>
      </c>
      <c r="H11">
        <v>102.91888981381886</v>
      </c>
      <c r="I11">
        <v>5.4169094715554511</v>
      </c>
      <c r="K11">
        <v>153.55609890465254</v>
      </c>
      <c r="L11">
        <v>10.243305605585753</v>
      </c>
      <c r="N11">
        <v>204.11109163792051</v>
      </c>
      <c r="O11">
        <v>17.058213482431245</v>
      </c>
      <c r="Q11">
        <v>244.62076951145505</v>
      </c>
      <c r="R11">
        <v>25.348350143956132</v>
      </c>
    </row>
    <row r="12" spans="2:20" x14ac:dyDescent="0.3">
      <c r="B12">
        <v>11.019099752327637</v>
      </c>
      <c r="C12">
        <v>3.9583115204470283E-2</v>
      </c>
      <c r="E12">
        <v>67.953958132496425</v>
      </c>
      <c r="F12">
        <v>2.8953288779811035</v>
      </c>
      <c r="H12">
        <v>103.86072429024571</v>
      </c>
      <c r="I12">
        <v>5.4920938969462245</v>
      </c>
      <c r="K12">
        <v>154.80608392286331</v>
      </c>
      <c r="L12">
        <v>10.380627166332614</v>
      </c>
      <c r="N12">
        <v>205.81392837130025</v>
      </c>
      <c r="O12">
        <v>17.327231611647719</v>
      </c>
      <c r="Q12">
        <v>246.51931964105151</v>
      </c>
      <c r="R12">
        <v>25.922226883849852</v>
      </c>
    </row>
    <row r="13" spans="2:20" x14ac:dyDescent="0.3">
      <c r="B13">
        <v>11.252397016799444</v>
      </c>
      <c r="C13">
        <v>5.5824704027763253E-2</v>
      </c>
      <c r="E13">
        <v>68.575820462090448</v>
      </c>
      <c r="F13">
        <v>2.9290641199413967</v>
      </c>
      <c r="H13">
        <v>104.80255876667256</v>
      </c>
      <c r="I13">
        <v>5.5672963354061862</v>
      </c>
      <c r="K13">
        <v>156.2346382293899</v>
      </c>
      <c r="L13">
        <v>10.53851709556451</v>
      </c>
      <c r="N13">
        <v>207.51676510467996</v>
      </c>
      <c r="O13">
        <v>17.599906807127482</v>
      </c>
      <c r="Q13">
        <v>248.41786977064785</v>
      </c>
      <c r="R13">
        <v>26.511051507082243</v>
      </c>
    </row>
    <row r="14" spans="2:20" x14ac:dyDescent="0.3">
      <c r="B14">
        <v>11.4273699651533</v>
      </c>
      <c r="C14">
        <v>6.7646898849472531E-2</v>
      </c>
      <c r="E14">
        <v>69.197682791684471</v>
      </c>
      <c r="F14">
        <v>2.9627841777150139</v>
      </c>
      <c r="H14">
        <v>105.87894102544611</v>
      </c>
      <c r="I14">
        <v>5.6533934433313213</v>
      </c>
      <c r="K14">
        <v>157.12716350318433</v>
      </c>
      <c r="L14">
        <v>10.637434936013296</v>
      </c>
      <c r="N14">
        <v>209.21960183805973</v>
      </c>
      <c r="O14">
        <v>17.875661177654766</v>
      </c>
      <c r="Q14">
        <v>250.31641990024431</v>
      </c>
      <c r="R14">
        <v>27.118370582879123</v>
      </c>
    </row>
    <row r="15" spans="2:20" x14ac:dyDescent="0.3">
      <c r="B15">
        <v>11.602342913507156</v>
      </c>
      <c r="C15">
        <v>7.9130636831466164E-2</v>
      </c>
      <c r="E15">
        <v>69.908382596934771</v>
      </c>
      <c r="F15">
        <v>3.001356256580336</v>
      </c>
      <c r="H15">
        <v>107.08987106656633</v>
      </c>
      <c r="I15">
        <v>5.7503713208649812</v>
      </c>
      <c r="K15">
        <v>158.3771485213951</v>
      </c>
      <c r="L15">
        <v>10.776850496977138</v>
      </c>
      <c r="N15">
        <v>211.13529316311192</v>
      </c>
      <c r="O15">
        <v>18.189502060970298</v>
      </c>
      <c r="Q15">
        <v>251.94374858275549</v>
      </c>
      <c r="R15">
        <v>27.652338108851694</v>
      </c>
    </row>
    <row r="16" spans="2:20" x14ac:dyDescent="0.3">
      <c r="B16">
        <v>11.835640177978965</v>
      </c>
      <c r="C16">
        <v>9.3811645643254199E-2</v>
      </c>
      <c r="E16">
        <v>70.707919877841363</v>
      </c>
      <c r="F16">
        <v>3.0447620008243641</v>
      </c>
      <c r="H16">
        <v>107.89715776064646</v>
      </c>
      <c r="I16">
        <v>5.8150767353395851</v>
      </c>
      <c r="K16">
        <v>159.80570282792172</v>
      </c>
      <c r="L16">
        <v>10.93715586296033</v>
      </c>
      <c r="N16">
        <v>212.83812989649164</v>
      </c>
      <c r="O16">
        <v>18.471712714478876</v>
      </c>
      <c r="Q16">
        <v>254.11352015943714</v>
      </c>
      <c r="R16">
        <v>28.389720855186727</v>
      </c>
    </row>
    <row r="17" spans="2:18" x14ac:dyDescent="0.3">
      <c r="B17">
        <v>12.068937442450773</v>
      </c>
      <c r="C17">
        <v>0.10791192313440619</v>
      </c>
      <c r="E17">
        <v>71.240944731779109</v>
      </c>
      <c r="F17">
        <v>3.073704689413459</v>
      </c>
      <c r="H17">
        <v>108.97354001942001</v>
      </c>
      <c r="I17">
        <v>5.9013326661346541</v>
      </c>
      <c r="K17">
        <v>161.05568784613251</v>
      </c>
      <c r="L17">
        <v>11.078318743577691</v>
      </c>
      <c r="N17">
        <v>214.3281120381989</v>
      </c>
      <c r="O17">
        <v>18.72088268118711</v>
      </c>
      <c r="Q17">
        <v>256.28329173611877</v>
      </c>
      <c r="R17">
        <v>29.158174373625783</v>
      </c>
    </row>
    <row r="18" spans="2:18" x14ac:dyDescent="0.3">
      <c r="B18">
        <v>12.243910390804631</v>
      </c>
      <c r="C18">
        <v>0.11821551319759228</v>
      </c>
      <c r="E18">
        <v>71.951644537029409</v>
      </c>
      <c r="F18">
        <v>3.1122560706096958</v>
      </c>
      <c r="H18">
        <v>109.91537449584686</v>
      </c>
      <c r="I18">
        <v>5.9769811586116326</v>
      </c>
      <c r="K18">
        <v>162.30567286434331</v>
      </c>
      <c r="L18">
        <v>11.220385014195344</v>
      </c>
      <c r="N18">
        <v>216.24380336325112</v>
      </c>
      <c r="O18">
        <v>19.045951727488458</v>
      </c>
      <c r="Q18">
        <v>258.18184186571511</v>
      </c>
      <c r="R18">
        <v>29.855086554451049</v>
      </c>
    </row>
    <row r="19" spans="2:18" x14ac:dyDescent="0.3">
      <c r="B19">
        <v>12.418883339158489</v>
      </c>
      <c r="C19">
        <v>0.12826111253113159</v>
      </c>
      <c r="E19">
        <v>72.573506866623433</v>
      </c>
      <c r="F19">
        <v>3.1460390075776017</v>
      </c>
      <c r="H19">
        <v>110.722661189927</v>
      </c>
      <c r="I19">
        <v>6.0417512566151794</v>
      </c>
      <c r="K19">
        <v>163.55565788255407</v>
      </c>
      <c r="L19">
        <v>11.363072474829258</v>
      </c>
      <c r="N19">
        <v>217.52093091328592</v>
      </c>
      <c r="O19">
        <v>19.264629250126166</v>
      </c>
      <c r="Q19">
        <v>260.08039199531157</v>
      </c>
      <c r="R19">
        <v>30.574823965424887</v>
      </c>
    </row>
    <row r="20" spans="2:18" x14ac:dyDescent="0.3">
      <c r="B20">
        <v>12.652180603630294</v>
      </c>
      <c r="C20">
        <v>0.14547324961879854</v>
      </c>
      <c r="E20">
        <v>73.106531720561151</v>
      </c>
      <c r="F20">
        <v>3.1749474620992881</v>
      </c>
      <c r="H20">
        <v>111.52994788400716</v>
      </c>
      <c r="I20">
        <v>6.1065781290032657</v>
      </c>
      <c r="K20">
        <v>164.80564290076489</v>
      </c>
      <c r="L20">
        <v>11.506678356109639</v>
      </c>
      <c r="N20">
        <v>219.01091305499318</v>
      </c>
      <c r="O20">
        <v>19.522808537813667</v>
      </c>
      <c r="Q20">
        <v>262.2501635719932</v>
      </c>
      <c r="R20">
        <v>31.432094628592576</v>
      </c>
    </row>
    <row r="21" spans="2:18" x14ac:dyDescent="0.3">
      <c r="B21">
        <v>12.82715355198415</v>
      </c>
      <c r="C21">
        <v>0.15793087342778611</v>
      </c>
      <c r="E21">
        <v>73.639556574498869</v>
      </c>
      <c r="F21">
        <v>3.2038621571853478</v>
      </c>
      <c r="H21">
        <v>112.33723457808732</v>
      </c>
      <c r="I21">
        <v>6.1714623407077811</v>
      </c>
      <c r="K21">
        <v>165.87705863065989</v>
      </c>
      <c r="L21">
        <v>11.630341941241259</v>
      </c>
      <c r="N21">
        <v>220.50089519670041</v>
      </c>
      <c r="O21">
        <v>19.783465518611752</v>
      </c>
      <c r="Q21">
        <v>264.41993514867477</v>
      </c>
      <c r="R21">
        <v>32.332151360399237</v>
      </c>
    </row>
    <row r="22" spans="2:18" x14ac:dyDescent="0.3">
      <c r="B22">
        <v>13.002126500338008</v>
      </c>
      <c r="C22">
        <v>0.1701050091856352</v>
      </c>
      <c r="E22">
        <v>74.172581428436615</v>
      </c>
      <c r="F22">
        <v>3.2327831629206765</v>
      </c>
      <c r="H22">
        <v>113.27906905451417</v>
      </c>
      <c r="I22">
        <v>6.2473365017812066</v>
      </c>
      <c r="K22">
        <v>167.30561293718651</v>
      </c>
      <c r="L22">
        <v>11.796254871654222</v>
      </c>
      <c r="N22">
        <v>221.77802274673525</v>
      </c>
      <c r="O22">
        <v>20.008988542648094</v>
      </c>
      <c r="Q22">
        <v>266.58970672535639</v>
      </c>
      <c r="R22">
        <v>33.274311405444614</v>
      </c>
    </row>
    <row r="23" spans="2:18" x14ac:dyDescent="0.3">
      <c r="B23">
        <v>13.235423764809818</v>
      </c>
      <c r="C23">
        <v>0.18597646135103024</v>
      </c>
      <c r="E23">
        <v>74.794443758030624</v>
      </c>
      <c r="F23">
        <v>3.266574234525105</v>
      </c>
      <c r="H23">
        <v>113.9518079662476</v>
      </c>
      <c r="I23">
        <v>6.301400380650521</v>
      </c>
      <c r="K23">
        <v>168.73416724371313</v>
      </c>
      <c r="L23">
        <v>11.963544187785349</v>
      </c>
      <c r="N23">
        <v>223.26800488844253</v>
      </c>
      <c r="O23">
        <v>20.275362060451606</v>
      </c>
      <c r="Q23">
        <v>269.03069974912319</v>
      </c>
      <c r="R23">
        <v>34.390173324438187</v>
      </c>
    </row>
    <row r="24" spans="2:18" x14ac:dyDescent="0.3">
      <c r="B24">
        <v>13.410396713163674</v>
      </c>
      <c r="C24">
        <v>0.1974951400231012</v>
      </c>
      <c r="E24">
        <v>75.238631136312065</v>
      </c>
      <c r="F24">
        <v>3.2906419482420306</v>
      </c>
      <c r="H24">
        <v>115.02819022502115</v>
      </c>
      <c r="I24">
        <v>6.3882275929337178</v>
      </c>
      <c r="K24">
        <v>169.98415226192387</v>
      </c>
      <c r="L24">
        <v>12.11087596699916</v>
      </c>
      <c r="N24">
        <v>224.75798703014976</v>
      </c>
      <c r="O24">
        <v>20.54576976165556</v>
      </c>
      <c r="Q24">
        <v>271.20047132580481</v>
      </c>
      <c r="R24">
        <v>35.434004007693218</v>
      </c>
    </row>
    <row r="25" spans="2:18" x14ac:dyDescent="0.3">
      <c r="B25">
        <v>13.702018293753435</v>
      </c>
      <c r="C25">
        <v>0.21609259929210883</v>
      </c>
      <c r="E25">
        <v>75.949330941562366</v>
      </c>
      <c r="F25">
        <v>3.3292551322305028</v>
      </c>
      <c r="H25">
        <v>115.7009291367546</v>
      </c>
      <c r="I25">
        <v>6.4424678140783378</v>
      </c>
      <c r="K25">
        <v>171.23413728013466</v>
      </c>
      <c r="L25">
        <v>12.258872721458761</v>
      </c>
      <c r="N25">
        <v>226.24796917185705</v>
      </c>
      <c r="O25">
        <v>20.820330594950047</v>
      </c>
      <c r="Q25">
        <v>273.09902145540121</v>
      </c>
      <c r="R25">
        <v>36.388415910491872</v>
      </c>
    </row>
    <row r="26" spans="2:18" x14ac:dyDescent="0.3">
      <c r="B26">
        <v>13.993639874343195</v>
      </c>
      <c r="C26">
        <v>0.23394496786867877</v>
      </c>
      <c r="E26">
        <v>76.393518319843821</v>
      </c>
      <c r="F26">
        <v>3.3533640608379183</v>
      </c>
      <c r="H26">
        <v>116.64276361318144</v>
      </c>
      <c r="I26">
        <v>6.5184392559854416</v>
      </c>
      <c r="K26">
        <v>172.66269158666131</v>
      </c>
      <c r="L26">
        <v>12.429085912455708</v>
      </c>
      <c r="N26">
        <v>227.73795131356434</v>
      </c>
      <c r="O26">
        <v>21.099167293500209</v>
      </c>
      <c r="Q26">
        <v>275.54001447916806</v>
      </c>
      <c r="R26">
        <v>37.701294055725867</v>
      </c>
    </row>
    <row r="27" spans="2:18" x14ac:dyDescent="0.3">
      <c r="B27">
        <v>14.285261454932956</v>
      </c>
      <c r="C27">
        <v>0.2512771116015497</v>
      </c>
      <c r="E27">
        <v>77.01538064943783</v>
      </c>
      <c r="F27">
        <v>3.3871058329470105</v>
      </c>
      <c r="H27">
        <v>117.71914587195498</v>
      </c>
      <c r="I27">
        <v>6.6055883548202186</v>
      </c>
      <c r="K27">
        <v>174.09124589318793</v>
      </c>
      <c r="L27">
        <v>12.600729693905452</v>
      </c>
      <c r="N27">
        <v>229.6536426386165</v>
      </c>
      <c r="O27">
        <v>21.464576339634146</v>
      </c>
      <c r="Q27">
        <v>277.1673431616793</v>
      </c>
      <c r="R27">
        <v>38.617354563231629</v>
      </c>
    </row>
    <row r="28" spans="2:18" x14ac:dyDescent="0.3">
      <c r="B28">
        <v>14.51845381955563</v>
      </c>
      <c r="C28">
        <v>0.26474385269051731</v>
      </c>
      <c r="E28">
        <v>77.72608045468813</v>
      </c>
      <c r="F28">
        <v>3.4257710172131826</v>
      </c>
      <c r="H28">
        <v>118.39164279127414</v>
      </c>
      <c r="I28">
        <v>6.6601129227322673</v>
      </c>
      <c r="K28">
        <v>175.51980019971458</v>
      </c>
      <c r="L28">
        <v>12.773475090458035</v>
      </c>
      <c r="N28">
        <v>230.93077018865128</v>
      </c>
      <c r="O28">
        <v>21.712002124145577</v>
      </c>
      <c r="Q28">
        <v>279.0658932912757</v>
      </c>
      <c r="R28">
        <v>39.752005260863257</v>
      </c>
    </row>
    <row r="29" spans="2:18" x14ac:dyDescent="0.3">
      <c r="B29">
        <v>14.751751084027442</v>
      </c>
      <c r="C29">
        <v>0.27796726806549604</v>
      </c>
      <c r="E29">
        <v>78.170108053337088</v>
      </c>
      <c r="F29">
        <v>3.4499467332775269</v>
      </c>
      <c r="H29">
        <v>119.33347726770099</v>
      </c>
      <c r="I29">
        <v>6.7367934756409982</v>
      </c>
      <c r="K29">
        <v>177.126923794557</v>
      </c>
      <c r="L29">
        <v>12.969030830519198</v>
      </c>
      <c r="N29">
        <v>232.63360692203102</v>
      </c>
      <c r="O29">
        <v>22.04743101095054</v>
      </c>
      <c r="Q29">
        <v>280.9644434208721</v>
      </c>
      <c r="R29">
        <v>40.952131344048873</v>
      </c>
    </row>
    <row r="30" spans="2:18" x14ac:dyDescent="0.3">
      <c r="B30">
        <v>14.926724032381298</v>
      </c>
      <c r="C30">
        <v>0.28761625229696497</v>
      </c>
      <c r="E30">
        <v>78.791970382931098</v>
      </c>
      <c r="F30">
        <v>3.4839124912268979</v>
      </c>
      <c r="H30">
        <v>120.40985952647453</v>
      </c>
      <c r="I30">
        <v>6.8247520975451899</v>
      </c>
      <c r="K30">
        <v>178.55547810108362</v>
      </c>
      <c r="L30">
        <v>13.143987919554547</v>
      </c>
      <c r="N30">
        <v>234.7621528387557</v>
      </c>
      <c r="O30">
        <v>22.476562895926893</v>
      </c>
      <c r="Q30">
        <v>282.59177210338328</v>
      </c>
      <c r="R30">
        <v>42.038393512569222</v>
      </c>
    </row>
    <row r="31" spans="2:18" x14ac:dyDescent="0.3">
      <c r="B31">
        <v>15.160021296853104</v>
      </c>
      <c r="C31">
        <v>0.30014264232441873</v>
      </c>
      <c r="E31">
        <v>79.502670188181426</v>
      </c>
      <c r="F31">
        <v>3.5228313180308866</v>
      </c>
      <c r="H31">
        <v>121.35169400290135</v>
      </c>
      <c r="I31">
        <v>6.9020340109138409</v>
      </c>
      <c r="K31">
        <v>179.80546311929439</v>
      </c>
      <c r="L31">
        <v>13.297797878313206</v>
      </c>
      <c r="N31">
        <v>237.31640793882528</v>
      </c>
      <c r="O31">
        <v>23.007313195942846</v>
      </c>
      <c r="Q31">
        <v>284.49032223297974</v>
      </c>
      <c r="R31">
        <v>43.400509953124711</v>
      </c>
    </row>
    <row r="32" spans="2:18" x14ac:dyDescent="0.3">
      <c r="B32">
        <v>15.334994245206961</v>
      </c>
      <c r="C32">
        <v>0.30929609286639848</v>
      </c>
      <c r="E32">
        <v>80.124532517775435</v>
      </c>
      <c r="F32">
        <v>3.5569913092965009</v>
      </c>
      <c r="H32">
        <v>122.2935284793282</v>
      </c>
      <c r="I32">
        <v>6.9796338640142377</v>
      </c>
      <c r="K32">
        <v>181.41258671413684</v>
      </c>
      <c r="L32">
        <v>13.497217080189447</v>
      </c>
      <c r="N32">
        <v>239.01924467220502</v>
      </c>
      <c r="O32">
        <v>23.367512208150668</v>
      </c>
      <c r="Q32">
        <v>286.38887236257614</v>
      </c>
      <c r="R32">
        <v>44.887005760687686</v>
      </c>
    </row>
    <row r="33" spans="2:18" x14ac:dyDescent="0.3">
      <c r="B33">
        <v>15.568291509678767</v>
      </c>
      <c r="C33">
        <v>0.32119529600370517</v>
      </c>
      <c r="E33">
        <v>80.746394847369444</v>
      </c>
      <c r="F33">
        <v>3.5912565895347526</v>
      </c>
      <c r="H33">
        <v>123.23536295575502</v>
      </c>
      <c r="I33">
        <v>7.0574105517287231</v>
      </c>
      <c r="K33">
        <v>182.4840024440318</v>
      </c>
      <c r="L33">
        <v>13.630822993498528</v>
      </c>
      <c r="N33">
        <v>240.29637222223982</v>
      </c>
      <c r="O33">
        <v>23.642325505637963</v>
      </c>
      <c r="Q33">
        <v>288.2874224921726</v>
      </c>
      <c r="R33">
        <v>46.5231799353787</v>
      </c>
    </row>
    <row r="34" spans="2:18" x14ac:dyDescent="0.3">
      <c r="B34">
        <v>15.743264458032627</v>
      </c>
      <c r="C34">
        <v>0.32990164955046286</v>
      </c>
      <c r="E34">
        <v>81.368257176963454</v>
      </c>
      <c r="F34">
        <v>3.6255677153384496</v>
      </c>
      <c r="H34">
        <v>124.17719743218187</v>
      </c>
      <c r="I34">
        <v>7.1355050729087672</v>
      </c>
      <c r="K34">
        <v>183.73398746224262</v>
      </c>
      <c r="L34">
        <v>13.787760631450297</v>
      </c>
      <c r="N34">
        <v>240.93493599725721</v>
      </c>
      <c r="O34">
        <v>23.780730249420927</v>
      </c>
      <c r="Q34">
        <v>290.18597262176894</v>
      </c>
      <c r="R34">
        <v>48.342878906516631</v>
      </c>
    </row>
    <row r="35" spans="2:18" x14ac:dyDescent="0.3">
      <c r="B35">
        <v>15.859913090268533</v>
      </c>
      <c r="C35">
        <v>0.3355673274037968</v>
      </c>
      <c r="E35">
        <v>81.990119506557477</v>
      </c>
      <c r="F35">
        <v>3.659982888204814</v>
      </c>
      <c r="H35">
        <v>124.98448412626205</v>
      </c>
      <c r="I35">
        <v>7.2026248386651215</v>
      </c>
      <c r="K35">
        <v>184.98397248045339</v>
      </c>
      <c r="L35">
        <v>13.945461209985078</v>
      </c>
      <c r="Q35">
        <v>292.62696564553573</v>
      </c>
      <c r="R35">
        <v>51.062396132792678</v>
      </c>
    </row>
    <row r="36" spans="2:18" x14ac:dyDescent="0.3">
      <c r="B36">
        <v>16.093210354740339</v>
      </c>
      <c r="C36">
        <v>0.34654946725517061</v>
      </c>
      <c r="E36">
        <v>82.523144360495209</v>
      </c>
      <c r="F36">
        <v>3.6895360535756523</v>
      </c>
      <c r="H36">
        <v>126.06086638503557</v>
      </c>
      <c r="I36">
        <v>7.2924408323601089</v>
      </c>
      <c r="K36">
        <v>186.05538821034835</v>
      </c>
      <c r="L36">
        <v>14.081315587645227</v>
      </c>
      <c r="Q36">
        <v>294.25429432804697</v>
      </c>
      <c r="R36">
        <v>53.126276966878542</v>
      </c>
    </row>
    <row r="37" spans="2:18" x14ac:dyDescent="0.3">
      <c r="B37">
        <v>16.268183303094194</v>
      </c>
      <c r="C37">
        <v>0.35661263325073839</v>
      </c>
      <c r="E37">
        <v>83.233844165745523</v>
      </c>
      <c r="F37">
        <v>3.7290364005716601</v>
      </c>
      <c r="H37">
        <v>127.13724864380913</v>
      </c>
      <c r="I37">
        <v>7.3827404964876342</v>
      </c>
      <c r="K37">
        <v>187.30537322855915</v>
      </c>
      <c r="L37">
        <v>14.240909851145657</v>
      </c>
      <c r="Q37">
        <v>296.42406590472859</v>
      </c>
      <c r="R37">
        <v>56.402748244503982</v>
      </c>
    </row>
    <row r="38" spans="2:18" x14ac:dyDescent="0.3">
      <c r="B38">
        <v>16.443156251448052</v>
      </c>
      <c r="C38">
        <v>0.36638135241335068</v>
      </c>
      <c r="E38">
        <v>83.944543970995838</v>
      </c>
      <c r="F38">
        <v>3.7686984304885267</v>
      </c>
      <c r="H38">
        <v>128.07908312023594</v>
      </c>
      <c r="I38">
        <v>7.4620703675931122</v>
      </c>
      <c r="K38">
        <v>188.55535824676997</v>
      </c>
      <c r="L38">
        <v>14.401934427833288</v>
      </c>
      <c r="Q38">
        <v>299.13628037558061</v>
      </c>
      <c r="R38">
        <v>61.880024001428062</v>
      </c>
    </row>
    <row r="39" spans="2:18" x14ac:dyDescent="0.3">
      <c r="B39">
        <v>16.61812919980191</v>
      </c>
      <c r="C39">
        <v>0.37594047054012902</v>
      </c>
      <c r="E39">
        <v>84.566406300589819</v>
      </c>
      <c r="F39">
        <v>3.8035039687729855</v>
      </c>
      <c r="H39">
        <v>129.02091759666277</v>
      </c>
      <c r="I39">
        <v>7.541577329807807</v>
      </c>
      <c r="K39">
        <v>189.80534326498076</v>
      </c>
      <c r="L39">
        <v>14.564409707832779</v>
      </c>
      <c r="Q39">
        <v>302.39093774060308</v>
      </c>
      <c r="R39">
        <v>73.211883268357596</v>
      </c>
    </row>
    <row r="40" spans="2:18" x14ac:dyDescent="0.3">
      <c r="B40">
        <v>16.851426464273715</v>
      </c>
      <c r="C40">
        <v>0.3883314596881689</v>
      </c>
      <c r="E40">
        <v>85.188268630183842</v>
      </c>
      <c r="F40">
        <v>3.83835227475452</v>
      </c>
      <c r="H40">
        <v>130.09729985543632</v>
      </c>
      <c r="I40">
        <v>7.6327659402229449</v>
      </c>
      <c r="K40">
        <v>191.05532828319153</v>
      </c>
      <c r="L40">
        <v>14.728355788534024</v>
      </c>
      <c r="Q40">
        <v>304.56070931728465</v>
      </c>
      <c r="R40">
        <v>86.815205441439815</v>
      </c>
    </row>
    <row r="41" spans="2:18" x14ac:dyDescent="0.3">
      <c r="B41">
        <v>17.026399412627573</v>
      </c>
      <c r="C41">
        <v>0.39737304656680328</v>
      </c>
      <c r="E41">
        <v>85.898968435434156</v>
      </c>
      <c r="F41">
        <v>3.8782719862851804</v>
      </c>
      <c r="H41">
        <v>131.17368211420984</v>
      </c>
      <c r="I41">
        <v>7.7244388284502126</v>
      </c>
      <c r="K41">
        <v>192.66245187803398</v>
      </c>
      <c r="L41">
        <v>14.941432289035419</v>
      </c>
      <c r="Q41">
        <v>306.18803799979588</v>
      </c>
      <c r="R41">
        <v>119.76940440674053</v>
      </c>
    </row>
    <row r="42" spans="2:18" x14ac:dyDescent="0.3">
      <c r="B42">
        <v>17.201372360981431</v>
      </c>
      <c r="C42">
        <v>0.40623476891882909</v>
      </c>
      <c r="E42">
        <v>86.609668240684456</v>
      </c>
      <c r="F42">
        <v>3.9183497218728451</v>
      </c>
      <c r="H42">
        <v>132.25006437298339</v>
      </c>
      <c r="I42">
        <v>7.8164358018902957</v>
      </c>
      <c r="K42">
        <v>193.73386760792894</v>
      </c>
      <c r="L42">
        <v>15.084803381103054</v>
      </c>
    </row>
    <row r="43" spans="2:18" x14ac:dyDescent="0.3">
      <c r="B43">
        <v>17.492993941571189</v>
      </c>
      <c r="C43">
        <v>0.42053030904324151</v>
      </c>
      <c r="E43">
        <v>87.320368045934771</v>
      </c>
      <c r="F43">
        <v>3.9585189127751739</v>
      </c>
      <c r="H43">
        <v>133.46099441410362</v>
      </c>
      <c r="I43">
        <v>7.920253128591761</v>
      </c>
      <c r="K43">
        <v>195.16242191445556</v>
      </c>
      <c r="L43">
        <v>15.277701658657506</v>
      </c>
    </row>
    <row r="44" spans="2:18" x14ac:dyDescent="0.3">
      <c r="B44">
        <v>17.784615522160955</v>
      </c>
      <c r="C44">
        <v>0.43438146674991363</v>
      </c>
      <c r="E44">
        <v>88.119905326841362</v>
      </c>
      <c r="F44">
        <v>4.0037874462437513</v>
      </c>
      <c r="H44">
        <v>134.53737667287714</v>
      </c>
      <c r="I44">
        <v>8.0128602155997495</v>
      </c>
      <c r="K44">
        <v>196.94811479761384</v>
      </c>
      <c r="L44">
        <v>15.521957733099848</v>
      </c>
    </row>
    <row r="45" spans="2:18" x14ac:dyDescent="0.3">
      <c r="B45">
        <v>18.017912786632763</v>
      </c>
      <c r="C45">
        <v>0.44512814025746916</v>
      </c>
      <c r="E45">
        <v>88.830605132091662</v>
      </c>
      <c r="F45">
        <v>4.0441162370408801</v>
      </c>
      <c r="H45">
        <v>135.47921114930398</v>
      </c>
      <c r="I45">
        <v>8.0940709908095254</v>
      </c>
      <c r="K45">
        <v>199.09094625740377</v>
      </c>
      <c r="L45">
        <v>15.820047532719858</v>
      </c>
    </row>
    <row r="46" spans="2:18" x14ac:dyDescent="0.3">
      <c r="B46">
        <v>18.251210051104568</v>
      </c>
      <c r="C46">
        <v>0.45562172869211454</v>
      </c>
      <c r="E46">
        <v>89.452467461685686</v>
      </c>
      <c r="F46">
        <v>4.0794442240711568</v>
      </c>
      <c r="H46">
        <v>136.69014119042421</v>
      </c>
      <c r="I46">
        <v>8.1989878099717934</v>
      </c>
      <c r="K46">
        <v>200.51950056393039</v>
      </c>
      <c r="L46">
        <v>16.020630835922482</v>
      </c>
    </row>
    <row r="47" spans="2:18" x14ac:dyDescent="0.3">
      <c r="B47">
        <v>18.484507315576376</v>
      </c>
      <c r="C47">
        <v>0.46587388641268701</v>
      </c>
      <c r="E47">
        <v>90.252004742592277</v>
      </c>
      <c r="F47">
        <v>4.1250149298582581</v>
      </c>
      <c r="H47">
        <v>137.49742788450439</v>
      </c>
      <c r="I47">
        <v>8.2691163031084969</v>
      </c>
      <c r="K47">
        <v>201.59091629382539</v>
      </c>
      <c r="L47">
        <v>16.172515891646047</v>
      </c>
    </row>
    <row r="48" spans="2:18" x14ac:dyDescent="0.3">
      <c r="B48">
        <v>18.659480263930234</v>
      </c>
      <c r="C48">
        <v>0.47338989192415198</v>
      </c>
      <c r="E48">
        <v>90.785029596530009</v>
      </c>
      <c r="F48">
        <v>4.1554451230503444</v>
      </c>
      <c r="H48">
        <v>138.4392623609312</v>
      </c>
      <c r="I48">
        <v>8.3512537318282245</v>
      </c>
      <c r="K48">
        <v>202.12662415877281</v>
      </c>
      <c r="L48">
        <v>16.248746223560541</v>
      </c>
    </row>
    <row r="49" spans="2:9" x14ac:dyDescent="0.3">
      <c r="B49">
        <v>18.834453212284089</v>
      </c>
      <c r="C49">
        <v>0.48078127646163527</v>
      </c>
      <c r="E49">
        <v>91.406891926124032</v>
      </c>
      <c r="F49">
        <v>4.1910424875050847</v>
      </c>
      <c r="H49">
        <v>139.38109683735806</v>
      </c>
      <c r="I49">
        <v>8.4335727719851761</v>
      </c>
    </row>
    <row r="50" spans="2:9" x14ac:dyDescent="0.3">
      <c r="B50">
        <v>18.951101844519993</v>
      </c>
      <c r="C50">
        <v>0.48562837780721263</v>
      </c>
      <c r="E50">
        <v>92.028754255718042</v>
      </c>
      <c r="F50">
        <v>4.2266787343671615</v>
      </c>
      <c r="H50">
        <v>140.18838353143821</v>
      </c>
      <c r="I50">
        <v>8.5043170144949585</v>
      </c>
    </row>
    <row r="51" spans="2:9" x14ac:dyDescent="0.3">
      <c r="B51">
        <v>19.067750476755897</v>
      </c>
      <c r="C51">
        <v>0.49042330871171375</v>
      </c>
      <c r="E51">
        <v>92.561779109655774</v>
      </c>
      <c r="F51">
        <v>4.2572730120535009</v>
      </c>
      <c r="H51">
        <v>141.13021800786507</v>
      </c>
      <c r="I51">
        <v>8.5871741086271101</v>
      </c>
    </row>
    <row r="52" spans="2:9" x14ac:dyDescent="0.3">
      <c r="B52">
        <v>19.184399108991801</v>
      </c>
      <c r="C52">
        <v>0.49516721601535824</v>
      </c>
      <c r="E52">
        <v>93.183641439249797</v>
      </c>
      <c r="F52">
        <v>4.293060426868422</v>
      </c>
      <c r="H52">
        <v>142.0720524842919</v>
      </c>
      <c r="I52">
        <v>8.6704938541925696</v>
      </c>
    </row>
    <row r="53" spans="2:9" x14ac:dyDescent="0.3">
      <c r="B53">
        <v>19.359372057345659</v>
      </c>
      <c r="C53">
        <v>0.50220822316833891</v>
      </c>
      <c r="E53">
        <v>93.80550376884382</v>
      </c>
      <c r="F53">
        <v>4.3289971568106678</v>
      </c>
      <c r="H53">
        <v>143.01388696071874</v>
      </c>
      <c r="I53">
        <v>8.7542779423136174</v>
      </c>
    </row>
    <row r="54" spans="2:9" x14ac:dyDescent="0.3">
      <c r="B54">
        <v>19.417696373463613</v>
      </c>
      <c r="C54">
        <v>0.50451864117752576</v>
      </c>
      <c r="E54">
        <v>94.42736609843783</v>
      </c>
      <c r="F54">
        <v>4.3650828241790327</v>
      </c>
      <c r="H54">
        <v>143.9557214371456</v>
      </c>
      <c r="I54">
        <v>8.8385277312892807</v>
      </c>
    </row>
    <row r="55" spans="2:9" x14ac:dyDescent="0.3">
      <c r="B55">
        <v>19.592669321817468</v>
      </c>
      <c r="C55">
        <v>0.51134378673031311</v>
      </c>
      <c r="E55">
        <v>95.049228428031839</v>
      </c>
      <c r="F55">
        <v>4.401316906450762</v>
      </c>
      <c r="H55">
        <v>145.16665147826581</v>
      </c>
      <c r="I55">
        <v>8.9475435485705113</v>
      </c>
    </row>
    <row r="56" spans="2:9" x14ac:dyDescent="0.3">
      <c r="B56">
        <v>19.825966586289276</v>
      </c>
      <c r="C56">
        <v>0.52204543829957062</v>
      </c>
      <c r="E56">
        <v>95.848765708938444</v>
      </c>
      <c r="F56">
        <v>4.4481172400229987</v>
      </c>
      <c r="H56">
        <v>145.97393817234595</v>
      </c>
      <c r="I56">
        <v>9.0206528781511999</v>
      </c>
    </row>
    <row r="57" spans="2:9" x14ac:dyDescent="0.3">
      <c r="B57">
        <v>20.000939534643134</v>
      </c>
      <c r="C57">
        <v>0.52995305263005776</v>
      </c>
      <c r="E57">
        <v>96.381790562876162</v>
      </c>
      <c r="F57">
        <v>4.479460208847609</v>
      </c>
      <c r="H57">
        <v>147.05032043111947</v>
      </c>
      <c r="I57">
        <v>9.1186304147471713</v>
      </c>
    </row>
    <row r="58" spans="2:9" x14ac:dyDescent="0.3">
      <c r="B58">
        <v>20.175912482996992</v>
      </c>
      <c r="C58">
        <v>0.53774544904394483</v>
      </c>
      <c r="E58">
        <v>97.092490368126448</v>
      </c>
      <c r="F58">
        <v>4.5213970078535715</v>
      </c>
      <c r="H58">
        <v>148.3957982545864</v>
      </c>
      <c r="I58">
        <v>9.2420387657611993</v>
      </c>
    </row>
    <row r="59" spans="2:9" x14ac:dyDescent="0.3">
      <c r="B59">
        <v>20.409209747468797</v>
      </c>
      <c r="C59">
        <v>0.54788880685086783</v>
      </c>
      <c r="E59">
        <v>97.980865124689331</v>
      </c>
      <c r="F59">
        <v>4.5741056067059525</v>
      </c>
      <c r="H59">
        <v>150.01037164274672</v>
      </c>
      <c r="I59">
        <v>9.391634466242321</v>
      </c>
    </row>
    <row r="60" spans="2:9" x14ac:dyDescent="0.3">
      <c r="B60">
        <v>20.525858379704705</v>
      </c>
      <c r="C60">
        <v>0.55291286648099769</v>
      </c>
      <c r="E60">
        <v>99.046914832564809</v>
      </c>
      <c r="F60">
        <v>4.6378261227348965</v>
      </c>
      <c r="H60">
        <v>151.08675390152024</v>
      </c>
      <c r="I60">
        <v>9.4918712922294119</v>
      </c>
    </row>
    <row r="61" spans="2:9" x14ac:dyDescent="0.3">
      <c r="B61">
        <v>20.700831328058559</v>
      </c>
      <c r="C61">
        <v>0.56034424768822966</v>
      </c>
      <c r="E61">
        <v>99.757614637815095</v>
      </c>
      <c r="F61">
        <v>4.6804501257741835</v>
      </c>
      <c r="H61">
        <v>151.89404059560039</v>
      </c>
      <c r="I61">
        <v>9.5674919215388385</v>
      </c>
    </row>
    <row r="62" spans="2:9" x14ac:dyDescent="0.3">
      <c r="B62">
        <v>20.817479960294463</v>
      </c>
      <c r="C62">
        <v>0.56525305443931784</v>
      </c>
      <c r="E62">
        <v>100.29063949175283</v>
      </c>
      <c r="F62">
        <v>4.7125593163019346</v>
      </c>
      <c r="H62">
        <v>152.29768394264048</v>
      </c>
      <c r="I62">
        <v>9.6053817697739419</v>
      </c>
    </row>
    <row r="63" spans="2:9" x14ac:dyDescent="0.3">
      <c r="B63">
        <v>20.992452908648318</v>
      </c>
      <c r="C63">
        <v>0.57254940448949909</v>
      </c>
      <c r="E63">
        <v>100.55715191872169</v>
      </c>
      <c r="F63">
        <v>4.7286370009950023</v>
      </c>
    </row>
    <row r="64" spans="2:9" x14ac:dyDescent="0.3">
      <c r="B64">
        <v>21.167425857002176</v>
      </c>
      <c r="C64">
        <v>0.57974756669173999</v>
      </c>
    </row>
    <row r="65" spans="2:3" x14ac:dyDescent="0.3">
      <c r="B65">
        <v>21.34239880535603</v>
      </c>
      <c r="C65">
        <v>0.58685015148579089</v>
      </c>
    </row>
    <row r="66" spans="2:3" x14ac:dyDescent="0.3">
      <c r="B66">
        <v>21.517371753709888</v>
      </c>
      <c r="C66">
        <v>0.59389055664777302</v>
      </c>
    </row>
    <row r="67" spans="2:3" x14ac:dyDescent="0.3">
      <c r="B67">
        <v>21.692344702063746</v>
      </c>
      <c r="C67">
        <v>0.60083950686303056</v>
      </c>
    </row>
    <row r="68" spans="2:3" x14ac:dyDescent="0.3">
      <c r="B68">
        <v>21.867317650417604</v>
      </c>
      <c r="C68">
        <v>0.60772889178966338</v>
      </c>
    </row>
    <row r="69" spans="2:3" x14ac:dyDescent="0.3">
      <c r="B69">
        <v>22.100614914889409</v>
      </c>
      <c r="C69">
        <v>0.61675969387011476</v>
      </c>
    </row>
    <row r="70" spans="2:3" x14ac:dyDescent="0.3">
      <c r="B70">
        <v>22.27558786324327</v>
      </c>
      <c r="C70">
        <v>0.62344815870684189</v>
      </c>
    </row>
    <row r="71" spans="2:3" x14ac:dyDescent="0.3">
      <c r="B71">
        <v>22.508885127715075</v>
      </c>
      <c r="C71">
        <v>0.63225613857116858</v>
      </c>
    </row>
    <row r="72" spans="2:3" x14ac:dyDescent="0.3">
      <c r="B72">
        <v>22.742182392186884</v>
      </c>
      <c r="C72">
        <v>0.64092148484442912</v>
      </c>
    </row>
    <row r="73" spans="2:3" x14ac:dyDescent="0.3">
      <c r="B73">
        <v>23.033803972776646</v>
      </c>
      <c r="C73">
        <v>0.651623513739928</v>
      </c>
    </row>
    <row r="74" spans="2:3" x14ac:dyDescent="0.3">
      <c r="B74">
        <v>23.15045260501255</v>
      </c>
      <c r="C74">
        <v>0.65585349882830446</v>
      </c>
    </row>
    <row r="75" spans="2:3" x14ac:dyDescent="0.3">
      <c r="B75">
        <v>23.325425553366408</v>
      </c>
      <c r="C75">
        <v>0.6621241231811007</v>
      </c>
    </row>
    <row r="76" spans="2:3" x14ac:dyDescent="0.3">
      <c r="B76">
        <v>23.500398501720262</v>
      </c>
      <c r="C76">
        <v>0.66938328086876342</v>
      </c>
    </row>
    <row r="77" spans="2:3" x14ac:dyDescent="0.3">
      <c r="B77">
        <v>23.733695766192074</v>
      </c>
      <c r="C77">
        <v>0.67895106131844529</v>
      </c>
    </row>
    <row r="78" spans="2:3" x14ac:dyDescent="0.3">
      <c r="B78">
        <v>24.025317346781833</v>
      </c>
      <c r="C78">
        <v>0.69068598508374479</v>
      </c>
    </row>
    <row r="79" spans="2:3" x14ac:dyDescent="0.3">
      <c r="B79">
        <v>24.258614611253641</v>
      </c>
      <c r="C79">
        <v>0.69993488209846377</v>
      </c>
    </row>
    <row r="80" spans="2:3" x14ac:dyDescent="0.3">
      <c r="B80">
        <v>24.60856050796135</v>
      </c>
      <c r="C80">
        <v>0.71360617822573524</v>
      </c>
    </row>
    <row r="81" spans="2:3" x14ac:dyDescent="0.3">
      <c r="B81">
        <v>24.841857772433162</v>
      </c>
      <c r="C81">
        <v>0.72258928260703603</v>
      </c>
    </row>
    <row r="82" spans="2:3" x14ac:dyDescent="0.3">
      <c r="B82">
        <v>25.075155036904967</v>
      </c>
      <c r="C82">
        <v>0.73147664387281353</v>
      </c>
    </row>
    <row r="83" spans="2:3" x14ac:dyDescent="0.3">
      <c r="B83">
        <v>25.250127985258828</v>
      </c>
      <c r="C83">
        <v>0.73807180812991702</v>
      </c>
    </row>
    <row r="84" spans="2:3" x14ac:dyDescent="0.3">
      <c r="B84">
        <v>25.425100933612683</v>
      </c>
      <c r="C84">
        <v>0.74459805655135614</v>
      </c>
    </row>
    <row r="85" spans="2:3" x14ac:dyDescent="0.3">
      <c r="B85">
        <v>25.658398198084488</v>
      </c>
      <c r="C85">
        <v>0.75320986768220044</v>
      </c>
    </row>
    <row r="86" spans="2:3" x14ac:dyDescent="0.3">
      <c r="B86">
        <v>26.008344094792204</v>
      </c>
      <c r="C86">
        <v>0.76595231112077711</v>
      </c>
    </row>
    <row r="87" spans="2:3" x14ac:dyDescent="0.3">
      <c r="B87">
        <v>26.41661430761787</v>
      </c>
      <c r="C87">
        <v>0.78061973110990224</v>
      </c>
    </row>
    <row r="88" spans="2:3" x14ac:dyDescent="0.3">
      <c r="B88">
        <v>26.766560204325582</v>
      </c>
      <c r="C88">
        <v>0.79298461550962074</v>
      </c>
    </row>
    <row r="89" spans="2:3" x14ac:dyDescent="0.3">
      <c r="B89">
        <v>27.174830417151245</v>
      </c>
      <c r="C89">
        <v>0.80925720810701196</v>
      </c>
    </row>
    <row r="90" spans="2:3" x14ac:dyDescent="0.3">
      <c r="B90">
        <v>27.524776313858958</v>
      </c>
      <c r="C90">
        <v>0.82302629701104302</v>
      </c>
    </row>
    <row r="91" spans="2:3" x14ac:dyDescent="0.3">
      <c r="B91">
        <v>27.933046526684628</v>
      </c>
      <c r="C91">
        <v>0.83883674873417313</v>
      </c>
    </row>
    <row r="92" spans="2:3" x14ac:dyDescent="0.3">
      <c r="B92">
        <v>28.34131673951029</v>
      </c>
      <c r="C92">
        <v>0.85440155570907483</v>
      </c>
    </row>
    <row r="93" spans="2:3" x14ac:dyDescent="0.3">
      <c r="B93">
        <v>28.866235584571861</v>
      </c>
      <c r="C93">
        <v>0.87410802724125813</v>
      </c>
    </row>
    <row r="94" spans="2:3" x14ac:dyDescent="0.3">
      <c r="B94">
        <v>29.332830113515477</v>
      </c>
      <c r="C94">
        <v>0.8913613511117584</v>
      </c>
    </row>
    <row r="95" spans="2:3" x14ac:dyDescent="0.3">
      <c r="B95">
        <v>29.741100326341147</v>
      </c>
      <c r="C95">
        <v>0.90623399025322415</v>
      </c>
    </row>
    <row r="96" spans="2:3" x14ac:dyDescent="0.3">
      <c r="B96">
        <v>30.091046223048853</v>
      </c>
      <c r="C96">
        <v>0.91883253813309573</v>
      </c>
    </row>
    <row r="97" spans="2:3" x14ac:dyDescent="0.3">
      <c r="B97">
        <v>30.324343487520661</v>
      </c>
      <c r="C97">
        <v>0.92715830836671431</v>
      </c>
    </row>
    <row r="98" spans="2:3" x14ac:dyDescent="0.3">
      <c r="B98">
        <v>30.674289384228373</v>
      </c>
      <c r="C98">
        <v>0.9410467047245259</v>
      </c>
    </row>
    <row r="99" spans="2:3" x14ac:dyDescent="0.3">
      <c r="B99">
        <v>31.08255959705404</v>
      </c>
      <c r="C99">
        <v>0.95706615976146769</v>
      </c>
    </row>
    <row r="100" spans="2:3" x14ac:dyDescent="0.3">
      <c r="B100">
        <v>31.60747844211561</v>
      </c>
      <c r="C100">
        <v>0.97737499670716521</v>
      </c>
    </row>
    <row r="101" spans="2:3" x14ac:dyDescent="0.3">
      <c r="B101">
        <v>31.899100022705365</v>
      </c>
      <c r="C101">
        <v>0.98850161214968268</v>
      </c>
    </row>
    <row r="102" spans="2:3" x14ac:dyDescent="0.3">
      <c r="B102">
        <v>32.365694551648986</v>
      </c>
      <c r="C102">
        <v>1.0060621106047809</v>
      </c>
    </row>
    <row r="103" spans="2:3" x14ac:dyDescent="0.3">
      <c r="B103">
        <v>32.832184180743475</v>
      </c>
      <c r="C103">
        <v>1.0233832339904585</v>
      </c>
    </row>
    <row r="104" spans="2:3" x14ac:dyDescent="0.3">
      <c r="B104">
        <v>33.240454393569138</v>
      </c>
      <c r="C104">
        <v>1.0383417696063129</v>
      </c>
    </row>
    <row r="105" spans="2:3" x14ac:dyDescent="0.3">
      <c r="B105">
        <v>33.648724606394801</v>
      </c>
      <c r="C105">
        <v>1.0531438135281666</v>
      </c>
    </row>
    <row r="106" spans="2:3" x14ac:dyDescent="0.3">
      <c r="B106">
        <v>34.115319135338417</v>
      </c>
      <c r="C106">
        <v>1.069798463063186</v>
      </c>
    </row>
    <row r="107" spans="2:3" x14ac:dyDescent="0.3">
      <c r="B107">
        <v>34.581913664282034</v>
      </c>
      <c r="C107">
        <v>1.0880682358300227</v>
      </c>
    </row>
    <row r="108" spans="2:3" x14ac:dyDescent="0.3">
      <c r="B108">
        <v>35.106832509343612</v>
      </c>
      <c r="C108">
        <v>1.1083126713934028</v>
      </c>
    </row>
    <row r="109" spans="2:3" x14ac:dyDescent="0.3">
      <c r="B109">
        <v>35.573427038287221</v>
      </c>
      <c r="C109">
        <v>1.1260408405286249</v>
      </c>
    </row>
    <row r="110" spans="2:3" x14ac:dyDescent="0.3">
      <c r="B110">
        <v>35.981697251112884</v>
      </c>
      <c r="C110">
        <v>1.1414015983687762</v>
      </c>
    </row>
    <row r="111" spans="2:3" x14ac:dyDescent="0.3">
      <c r="B111">
        <v>36.506616096174461</v>
      </c>
      <c r="C111">
        <v>1.1608657313255923</v>
      </c>
    </row>
    <row r="112" spans="2:3" x14ac:dyDescent="0.3">
      <c r="B112">
        <v>36.85656199288217</v>
      </c>
      <c r="C112">
        <v>1.1737180345246594</v>
      </c>
    </row>
    <row r="113" spans="2:3" x14ac:dyDescent="0.3">
      <c r="B113">
        <v>37.323156521825794</v>
      </c>
      <c r="C113">
        <v>1.1906124667457805</v>
      </c>
    </row>
    <row r="114" spans="2:3" x14ac:dyDescent="0.3">
      <c r="B114">
        <v>37.73142673465145</v>
      </c>
      <c r="C114">
        <v>1.2052576734252582</v>
      </c>
    </row>
    <row r="115" spans="2:3" x14ac:dyDescent="0.3">
      <c r="B115">
        <v>38.198021263595066</v>
      </c>
      <c r="C115">
        <v>1.2234148219309366</v>
      </c>
    </row>
    <row r="116" spans="2:3" x14ac:dyDescent="0.3">
      <c r="B116">
        <v>38.606291476420736</v>
      </c>
      <c r="C116">
        <v>1.239121930640372</v>
      </c>
    </row>
    <row r="117" spans="2:3" x14ac:dyDescent="0.3">
      <c r="B117">
        <v>38.897913057010491</v>
      </c>
      <c r="C117">
        <v>1.2502655338468074</v>
      </c>
    </row>
    <row r="118" spans="2:3" x14ac:dyDescent="0.3">
      <c r="B118">
        <v>39.072886005364353</v>
      </c>
      <c r="C118">
        <v>1.2569216881397769</v>
      </c>
    </row>
    <row r="119" spans="2:3" x14ac:dyDescent="0.3">
      <c r="B119">
        <v>39.364507585954108</v>
      </c>
      <c r="C119">
        <v>1.2679164351981822</v>
      </c>
    </row>
    <row r="120" spans="2:3" x14ac:dyDescent="0.3">
      <c r="B120">
        <v>39.772777798779778</v>
      </c>
      <c r="C120">
        <v>1.2831737158084056</v>
      </c>
    </row>
    <row r="121" spans="2:3" x14ac:dyDescent="0.3">
      <c r="B121">
        <v>40.006075063251586</v>
      </c>
      <c r="C121">
        <v>1.2918348419790529</v>
      </c>
    </row>
    <row r="122" spans="2:3" x14ac:dyDescent="0.3">
      <c r="B122">
        <v>40.356020959959295</v>
      </c>
      <c r="C122">
        <v>1.3047138190224277</v>
      </c>
    </row>
    <row r="123" spans="2:3" x14ac:dyDescent="0.3">
      <c r="B123">
        <v>40.822615488902919</v>
      </c>
      <c r="C123">
        <v>1.3216648994955553</v>
      </c>
    </row>
    <row r="124" spans="2:3" x14ac:dyDescent="0.3">
      <c r="B124">
        <v>41.347534333964489</v>
      </c>
      <c r="C124">
        <v>1.340493133149115</v>
      </c>
    </row>
    <row r="125" spans="2:3" x14ac:dyDescent="0.3">
      <c r="B125">
        <v>41.755804546790152</v>
      </c>
      <c r="C125">
        <v>1.3563350430725567</v>
      </c>
    </row>
    <row r="126" spans="2:3" x14ac:dyDescent="0.3">
      <c r="B126">
        <v>42.280723391851716</v>
      </c>
      <c r="C126">
        <v>1.3764504247916853</v>
      </c>
    </row>
    <row r="127" spans="2:3" x14ac:dyDescent="0.3">
      <c r="B127">
        <v>42.688993604677378</v>
      </c>
      <c r="C127">
        <v>1.3919676749443686</v>
      </c>
    </row>
    <row r="128" spans="2:3" x14ac:dyDescent="0.3">
      <c r="B128">
        <v>43.097263817503048</v>
      </c>
      <c r="C128">
        <v>1.4072957448709453</v>
      </c>
    </row>
    <row r="129" spans="2:3" x14ac:dyDescent="0.3">
      <c r="B129">
        <v>43.505534030328711</v>
      </c>
      <c r="C129">
        <v>1.4225320240172357</v>
      </c>
    </row>
    <row r="130" spans="2:3" x14ac:dyDescent="0.3">
      <c r="B130">
        <v>44.030452875390289</v>
      </c>
      <c r="C130">
        <v>1.4418488496588178</v>
      </c>
    </row>
    <row r="131" spans="2:3" x14ac:dyDescent="0.3">
      <c r="B131">
        <v>44.613696036569799</v>
      </c>
      <c r="C131">
        <v>1.4630599208870096</v>
      </c>
    </row>
    <row r="132" spans="2:3" x14ac:dyDescent="0.3">
      <c r="B132">
        <v>45.021966249395469</v>
      </c>
      <c r="C132">
        <v>1.4789887471574874</v>
      </c>
    </row>
    <row r="133" spans="2:3" x14ac:dyDescent="0.3">
      <c r="B133">
        <v>45.430236462221131</v>
      </c>
      <c r="C133">
        <v>1.4947643334390714</v>
      </c>
    </row>
    <row r="134" spans="2:3" x14ac:dyDescent="0.3">
      <c r="B134">
        <v>45.896830991164748</v>
      </c>
      <c r="C134">
        <v>1.5126222215543437</v>
      </c>
    </row>
    <row r="135" spans="2:3" x14ac:dyDescent="0.3">
      <c r="B135">
        <v>46.421749836226326</v>
      </c>
      <c r="C135">
        <v>1.5324855897539293</v>
      </c>
    </row>
    <row r="136" spans="2:3" x14ac:dyDescent="0.3">
      <c r="B136">
        <v>46.771695732934035</v>
      </c>
      <c r="C136">
        <v>1.5456289728258403</v>
      </c>
    </row>
    <row r="137" spans="2:3" x14ac:dyDescent="0.3">
      <c r="B137">
        <v>47.238290261877658</v>
      </c>
      <c r="C137">
        <v>1.5629591269255387</v>
      </c>
    </row>
    <row r="138" spans="2:3" x14ac:dyDescent="0.3">
      <c r="B138">
        <v>47.646560474703328</v>
      </c>
      <c r="C138">
        <v>1.5780122016715605</v>
      </c>
    </row>
    <row r="139" spans="2:3" x14ac:dyDescent="0.3">
      <c r="B139">
        <v>47.99650637141103</v>
      </c>
      <c r="C139">
        <v>1.5907974073012185</v>
      </c>
    </row>
    <row r="140" spans="2:3" x14ac:dyDescent="0.3">
      <c r="B140">
        <v>48.346452268118739</v>
      </c>
      <c r="C140">
        <v>1.6034905187454171</v>
      </c>
    </row>
    <row r="141" spans="2:3" x14ac:dyDescent="0.3">
      <c r="B141">
        <v>48.696398164826455</v>
      </c>
      <c r="C141">
        <v>1.6170622841847071</v>
      </c>
    </row>
    <row r="142" spans="2:3" x14ac:dyDescent="0.3">
      <c r="B142">
        <v>49.104668377652118</v>
      </c>
      <c r="C142">
        <v>1.6327839529446373</v>
      </c>
    </row>
    <row r="143" spans="2:3" x14ac:dyDescent="0.3">
      <c r="B143">
        <v>49.39628995824188</v>
      </c>
      <c r="C143">
        <v>1.6439143782503152</v>
      </c>
    </row>
    <row r="144" spans="2:3" x14ac:dyDescent="0.3">
      <c r="B144">
        <v>49.862884487185504</v>
      </c>
      <c r="C144">
        <v>1.661599444912131</v>
      </c>
    </row>
    <row r="145" spans="2:3" x14ac:dyDescent="0.3">
      <c r="B145">
        <v>50.154506067775266</v>
      </c>
      <c r="C145">
        <v>1.6725757473616232</v>
      </c>
    </row>
    <row r="146" spans="2:3" x14ac:dyDescent="0.3">
      <c r="B146">
        <v>50.562776280600929</v>
      </c>
      <c r="C146">
        <v>1.687810420005073</v>
      </c>
    </row>
    <row r="147" spans="2:3" x14ac:dyDescent="0.3">
      <c r="B147">
        <v>51.029370809544538</v>
      </c>
      <c r="C147">
        <v>1.7051034163718439</v>
      </c>
    </row>
    <row r="148" spans="2:3" x14ac:dyDescent="0.3">
      <c r="B148">
        <v>51.320887490285173</v>
      </c>
      <c r="C148">
        <v>1.7158527642837889</v>
      </c>
    </row>
    <row r="149" spans="2:3" x14ac:dyDescent="0.3">
      <c r="B149">
        <v>51.729157703110843</v>
      </c>
      <c r="C149">
        <v>1.7308318425044495</v>
      </c>
    </row>
    <row r="150" spans="2:3" x14ac:dyDescent="0.3">
      <c r="B150">
        <v>52.19575223205446</v>
      </c>
      <c r="C150">
        <v>1.7478367605377412</v>
      </c>
    </row>
    <row r="151" spans="2:3" x14ac:dyDescent="0.3">
      <c r="B151">
        <v>52.604022444880108</v>
      </c>
      <c r="C151">
        <v>1.7636999954851473</v>
      </c>
    </row>
    <row r="152" spans="2:3" x14ac:dyDescent="0.3">
      <c r="B152">
        <v>53.012292657705778</v>
      </c>
      <c r="C152">
        <v>1.7794851643602736</v>
      </c>
    </row>
    <row r="153" spans="2:3" x14ac:dyDescent="0.3">
      <c r="B153">
        <v>53.420562870531448</v>
      </c>
      <c r="C153">
        <v>1.7951666694630295</v>
      </c>
    </row>
    <row r="154" spans="2:3" x14ac:dyDescent="0.3">
      <c r="B154">
        <v>53.828833083357111</v>
      </c>
      <c r="C154">
        <v>1.8107719837190301</v>
      </c>
    </row>
    <row r="155" spans="2:3" x14ac:dyDescent="0.3">
      <c r="B155">
        <v>54.178778980064827</v>
      </c>
      <c r="C155">
        <v>1.8240829852791287</v>
      </c>
    </row>
    <row r="156" spans="2:3" x14ac:dyDescent="0.3">
      <c r="B156">
        <v>54.645373509008444</v>
      </c>
      <c r="C156">
        <v>1.8417168205422374</v>
      </c>
    </row>
    <row r="157" spans="2:3" x14ac:dyDescent="0.3">
      <c r="B157">
        <v>55.111968037952067</v>
      </c>
      <c r="C157">
        <v>1.8592668281762834</v>
      </c>
    </row>
    <row r="158" spans="2:3" x14ac:dyDescent="0.3">
      <c r="B158">
        <v>55.520238250777723</v>
      </c>
      <c r="C158">
        <v>1.8745501126110153</v>
      </c>
    </row>
    <row r="159" spans="2:3" x14ac:dyDescent="0.3">
      <c r="B159">
        <v>55.928508463603386</v>
      </c>
      <c r="C159">
        <v>1.8907488130550898</v>
      </c>
    </row>
    <row r="160" spans="2:3" x14ac:dyDescent="0.3">
      <c r="B160">
        <v>56.395102992547002</v>
      </c>
      <c r="C160">
        <v>1.9091453316242235</v>
      </c>
    </row>
    <row r="161" spans="2:3" x14ac:dyDescent="0.3">
      <c r="B161">
        <v>56.861697521490626</v>
      </c>
      <c r="C161">
        <v>1.9274564967805641</v>
      </c>
    </row>
    <row r="162" spans="2:3" x14ac:dyDescent="0.3">
      <c r="B162">
        <v>57.328292050434243</v>
      </c>
      <c r="C162">
        <v>1.9456539925469394</v>
      </c>
    </row>
    <row r="163" spans="2:3" x14ac:dyDescent="0.3">
      <c r="B163">
        <v>57.853210895495813</v>
      </c>
      <c r="C163">
        <v>1.9659681358993446</v>
      </c>
    </row>
    <row r="164" spans="2:3" x14ac:dyDescent="0.3">
      <c r="B164">
        <v>58.319805424439423</v>
      </c>
      <c r="C164">
        <v>1.9839146740645432</v>
      </c>
    </row>
    <row r="165" spans="2:3" x14ac:dyDescent="0.3">
      <c r="B165">
        <v>58.728075637265093</v>
      </c>
      <c r="C165">
        <v>1.9995220914130938</v>
      </c>
    </row>
    <row r="166" spans="2:3" x14ac:dyDescent="0.3">
      <c r="B166">
        <v>59.252994482326663</v>
      </c>
      <c r="C166">
        <v>2.0194681312152976</v>
      </c>
    </row>
    <row r="167" spans="2:3" x14ac:dyDescent="0.3">
      <c r="B167">
        <v>59.602940379034379</v>
      </c>
      <c r="C167">
        <v>2.0335329163371036</v>
      </c>
    </row>
    <row r="168" spans="2:3" x14ac:dyDescent="0.3">
      <c r="B168">
        <v>60.011210591860035</v>
      </c>
      <c r="C168">
        <v>2.0498687049737505</v>
      </c>
    </row>
    <row r="169" spans="2:3" x14ac:dyDescent="0.3">
      <c r="B169">
        <v>60.419480804685705</v>
      </c>
      <c r="C169">
        <v>2.066107046381406</v>
      </c>
    </row>
    <row r="170" spans="2:3" x14ac:dyDescent="0.3">
      <c r="B170">
        <v>60.769426701393428</v>
      </c>
      <c r="C170">
        <v>2.0799639111364043</v>
      </c>
    </row>
    <row r="171" spans="2:3" x14ac:dyDescent="0.3">
      <c r="B171">
        <v>61.177696914219084</v>
      </c>
      <c r="C171">
        <v>2.0960593329986694</v>
      </c>
    </row>
    <row r="172" spans="2:3" x14ac:dyDescent="0.3">
      <c r="B172">
        <v>61.585967127044754</v>
      </c>
      <c r="C172">
        <v>2.1121088067357627</v>
      </c>
    </row>
    <row r="173" spans="2:3" x14ac:dyDescent="0.3">
      <c r="B173">
        <v>61.994237339870423</v>
      </c>
      <c r="C173">
        <v>2.1281126622724993</v>
      </c>
    </row>
    <row r="174" spans="2:3" x14ac:dyDescent="0.3">
      <c r="B174">
        <v>62.402507552696079</v>
      </c>
      <c r="C174">
        <v>2.1440711601330973</v>
      </c>
    </row>
    <row r="175" spans="2:3" x14ac:dyDescent="0.3">
      <c r="B175">
        <v>62.92742639775765</v>
      </c>
      <c r="C175">
        <v>2.1645016483677133</v>
      </c>
    </row>
    <row r="176" spans="2:3" x14ac:dyDescent="0.3">
      <c r="B176">
        <v>63.277372294465358</v>
      </c>
      <c r="C176">
        <v>2.1789038735738537</v>
      </c>
    </row>
    <row r="177" spans="2:3" x14ac:dyDescent="0.3">
      <c r="B177">
        <v>63.743966823408968</v>
      </c>
      <c r="C177">
        <v>2.1980249218487691</v>
      </c>
    </row>
    <row r="178" spans="2:3" x14ac:dyDescent="0.3">
      <c r="B178">
        <v>64.327209984588492</v>
      </c>
      <c r="C178">
        <v>2.2218261427007433</v>
      </c>
    </row>
    <row r="179" spans="2:3" x14ac:dyDescent="0.3">
      <c r="B179">
        <v>65.027101778003924</v>
      </c>
      <c r="C179">
        <v>2.2502701774942957</v>
      </c>
    </row>
    <row r="180" spans="2:3" x14ac:dyDescent="0.3">
      <c r="B180">
        <v>65.493696306947541</v>
      </c>
      <c r="C180">
        <v>2.2691531879351974</v>
      </c>
    </row>
    <row r="181" spans="2:3" x14ac:dyDescent="0.3">
      <c r="B181">
        <v>65.843642203655264</v>
      </c>
      <c r="C181">
        <v>2.2832970067376661</v>
      </c>
    </row>
    <row r="182" spans="2:3" x14ac:dyDescent="0.3">
      <c r="B182">
        <v>66.018615152009104</v>
      </c>
      <c r="C182">
        <v>2.2903591058682684</v>
      </c>
    </row>
  </sheetData>
  <mergeCells count="6">
    <mergeCell ref="N7:O7"/>
    <mergeCell ref="Q7:R7"/>
    <mergeCell ref="B7:C7"/>
    <mergeCell ref="E7:F7"/>
    <mergeCell ref="H7:I7"/>
    <mergeCell ref="K7:L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Time">
          <controlPr defaultSize="0" autoLine="0" r:id="rId4">
            <anchor moveWithCells="1">
              <from>
                <xdr:col>2</xdr:col>
                <xdr:colOff>525780</xdr:colOff>
                <xdr:row>1</xdr:row>
                <xdr:rowOff>175260</xdr:rowOff>
              </from>
              <to>
                <xdr:col>4</xdr:col>
                <xdr:colOff>609600</xdr:colOff>
                <xdr:row>4</xdr:row>
                <xdr:rowOff>22860</xdr:rowOff>
              </to>
            </anchor>
          </controlPr>
        </control>
      </mc:Choice>
      <mc:Fallback>
        <control shapeId="7169" r:id="rId3" name="Time"/>
      </mc:Fallback>
    </mc:AlternateContent>
    <mc:AlternateContent xmlns:mc="http://schemas.openxmlformats.org/markup-compatibility/2006">
      <mc:Choice Requires="x14">
        <control shapeId="7170" r:id="rId5" name="Clear_Data">
          <controlPr defaultSize="0" autoLine="0" r:id="rId6">
            <anchor moveWithCells="1">
              <from>
                <xdr:col>4</xdr:col>
                <xdr:colOff>1021080</xdr:colOff>
                <xdr:row>1</xdr:row>
                <xdr:rowOff>152400</xdr:rowOff>
              </from>
              <to>
                <xdr:col>6</xdr:col>
                <xdr:colOff>251460</xdr:colOff>
                <xdr:row>4</xdr:row>
                <xdr:rowOff>45720</xdr:rowOff>
              </to>
            </anchor>
          </controlPr>
        </control>
      </mc:Choice>
      <mc:Fallback>
        <control shapeId="7170" r:id="rId5" name="Clear_Data"/>
      </mc:Fallback>
    </mc:AlternateContent>
    <mc:AlternateContent xmlns:mc="http://schemas.openxmlformats.org/markup-compatibility/2006">
      <mc:Choice Requires="x14">
        <control shapeId="7171" r:id="rId7" name="Button 3">
          <controlPr defaultSize="0" print="0" autoFill="0" autoPict="0" macro="[0]!SimulatedAnnealing">
            <anchor moveWithCells="1" sizeWithCells="1">
              <from>
                <xdr:col>8</xdr:col>
                <xdr:colOff>99060</xdr:colOff>
                <xdr:row>2</xdr:row>
                <xdr:rowOff>83820</xdr:rowOff>
              </from>
              <to>
                <xdr:col>10</xdr:col>
                <xdr:colOff>1150620</xdr:colOff>
                <xdr:row>4</xdr:row>
                <xdr:rowOff>106680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2</vt:i4>
      </vt:variant>
    </vt:vector>
  </HeadingPairs>
  <TitlesOfParts>
    <vt:vector size="8" baseType="lpstr">
      <vt:lpstr>Engine Data</vt:lpstr>
      <vt:lpstr>Power-Speed Relation VI Gear</vt:lpstr>
      <vt:lpstr>Resisting Power</vt:lpstr>
      <vt:lpstr>Acceleration</vt:lpstr>
      <vt:lpstr>Excess Power</vt:lpstr>
      <vt:lpstr>Time</vt:lpstr>
      <vt:lpstr>Top Speed</vt:lpstr>
      <vt:lpstr>Excess Power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Mandi</dc:creator>
  <cp:lastModifiedBy>Mandi</cp:lastModifiedBy>
  <dcterms:created xsi:type="dcterms:W3CDTF">2023-03-31T16:18:05Z</dcterms:created>
  <dcterms:modified xsi:type="dcterms:W3CDTF">2023-07-19T14:46:37Z</dcterms:modified>
</cp:coreProperties>
</file>